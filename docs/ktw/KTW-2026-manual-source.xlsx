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13_ncr:1_{1CA464CF-1279-4E2D-933F-B1576C76551E}" xr6:coauthVersionLast="47" xr6:coauthVersionMax="47" xr10:uidLastSave="{00000000-0000-0000-0000-000000000000}"/>
  <bookViews>
    <workbookView xWindow="1410" yWindow="720" windowWidth="15090" windowHeight="15450" firstSheet="1" activeTab="1" xr2:uid="{00000000-000D-0000-FFFF-FFFF00000000}"/>
  </bookViews>
  <sheets>
    <sheet name="d3" sheetId="1" state="hidden" r:id="rId1"/>
    <sheet name="Sheet1" sheetId="5" r:id="rId2"/>
    <sheet name="s1" sheetId="2" state="hidden" r:id="rId3"/>
    <sheet name="s2" sheetId="3" state="hidden" r:id="rId4"/>
    <sheet name="s3" sheetId="4" state="hidden" r:id="rId5"/>
  </sheets>
  <definedNames>
    <definedName name="_xlnm.Print_Area" localSheetId="2">'s1'!$A$1:$G$81</definedName>
    <definedName name="_xlnm.Print_Area" localSheetId="3">'s2'!$A$1:$G$55</definedName>
    <definedName name="_xlnm.Print_Area" localSheetId="1">Sheet1!$A$1:$G$63</definedName>
    <definedName name="_xlnm.Print_Titles" localSheetId="2">'s1'!$2:$2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7" i="5" l="1"/>
  <c r="E77" i="5" s="1"/>
  <c r="D8" i="5"/>
  <c r="D5" i="5"/>
  <c r="E5" i="5" s="1"/>
  <c r="G5" i="5" s="1"/>
  <c r="E10" i="5"/>
  <c r="G10" i="5" s="1"/>
  <c r="E9" i="5"/>
  <c r="G9" i="5" s="1"/>
  <c r="E7" i="5"/>
  <c r="G7" i="5" s="1"/>
  <c r="E6" i="5"/>
  <c r="G6" i="5" s="1"/>
  <c r="G99" i="5"/>
  <c r="G100" i="5"/>
  <c r="G106" i="5"/>
  <c r="G107" i="5"/>
  <c r="G108" i="5"/>
  <c r="F104" i="5"/>
  <c r="G104" i="5" s="1"/>
  <c r="G95" i="5"/>
  <c r="G91" i="5"/>
  <c r="G92" i="5"/>
  <c r="F90" i="5"/>
  <c r="E90" i="5"/>
  <c r="G90" i="5" s="1"/>
  <c r="D97" i="5"/>
  <c r="E97" i="5" s="1"/>
  <c r="G97" i="5" s="1"/>
  <c r="D103" i="5"/>
  <c r="D93" i="5"/>
  <c r="D90" i="5"/>
  <c r="D71" i="5"/>
  <c r="E85" i="5"/>
  <c r="G85" i="5" s="1"/>
  <c r="E84" i="5"/>
  <c r="G84" i="5" s="1"/>
  <c r="E74" i="5"/>
  <c r="G74" i="5" s="1"/>
  <c r="E73" i="5"/>
  <c r="G73" i="5" s="1"/>
  <c r="E61" i="5"/>
  <c r="G61" i="5" s="1"/>
  <c r="E53" i="5"/>
  <c r="G53" i="5" s="1"/>
  <c r="E54" i="5"/>
  <c r="G54" i="5" s="1"/>
  <c r="E55" i="5"/>
  <c r="G55" i="5" s="1"/>
  <c r="E56" i="5"/>
  <c r="G56" i="5" s="1"/>
  <c r="E57" i="5"/>
  <c r="G57" i="5" s="1"/>
  <c r="E58" i="5"/>
  <c r="G58" i="5" s="1"/>
  <c r="E59" i="5"/>
  <c r="G59" i="5" s="1"/>
  <c r="D51" i="5"/>
  <c r="E51" i="5" s="1"/>
  <c r="G51" i="5" s="1"/>
  <c r="D46" i="5"/>
  <c r="E46" i="5" s="1"/>
  <c r="D30" i="5"/>
  <c r="E30" i="5" s="1"/>
  <c r="G30" i="5" s="1"/>
  <c r="E93" i="5"/>
  <c r="E87" i="5"/>
  <c r="E75" i="5"/>
  <c r="G75" i="5" s="1"/>
  <c r="E69" i="5"/>
  <c r="G69" i="5" s="1"/>
  <c r="E67" i="5"/>
  <c r="E60" i="5"/>
  <c r="E27" i="5"/>
  <c r="E18" i="5"/>
  <c r="G18" i="5" s="1"/>
  <c r="E110" i="5"/>
  <c r="G110" i="5" s="1"/>
  <c r="E109" i="5"/>
  <c r="G109" i="5" s="1"/>
  <c r="E105" i="5"/>
  <c r="G105" i="5" s="1"/>
  <c r="E103" i="5"/>
  <c r="G103" i="5" s="1"/>
  <c r="E98" i="5"/>
  <c r="G98" i="5" s="1"/>
  <c r="E96" i="5"/>
  <c r="G96" i="5" s="1"/>
  <c r="E94" i="5"/>
  <c r="G94" i="5" s="1"/>
  <c r="E89" i="5"/>
  <c r="G89" i="5" s="1"/>
  <c r="E88" i="5"/>
  <c r="G88" i="5" s="1"/>
  <c r="E86" i="5"/>
  <c r="G86" i="5" s="1"/>
  <c r="E83" i="5"/>
  <c r="G83" i="5" s="1"/>
  <c r="E82" i="5"/>
  <c r="G82" i="5" s="1"/>
  <c r="E81" i="5"/>
  <c r="G81" i="5" s="1"/>
  <c r="E80" i="5"/>
  <c r="G80" i="5" s="1"/>
  <c r="E79" i="5"/>
  <c r="G79" i="5" s="1"/>
  <c r="E78" i="5"/>
  <c r="G78" i="5" s="1"/>
  <c r="E72" i="5"/>
  <c r="G72" i="5" s="1"/>
  <c r="E70" i="5"/>
  <c r="G70" i="5" s="1"/>
  <c r="E68" i="5"/>
  <c r="G68" i="5" s="1"/>
  <c r="E63" i="5"/>
  <c r="G63" i="5" s="1"/>
  <c r="E62" i="5"/>
  <c r="G62" i="5" s="1"/>
  <c r="E52" i="5"/>
  <c r="G52" i="5" s="1"/>
  <c r="E50" i="5"/>
  <c r="G50" i="5" s="1"/>
  <c r="E49" i="5"/>
  <c r="G49" i="5" s="1"/>
  <c r="E48" i="5"/>
  <c r="G48" i="5" s="1"/>
  <c r="E47" i="5"/>
  <c r="G47" i="5" s="1"/>
  <c r="E45" i="5"/>
  <c r="G45" i="5" s="1"/>
  <c r="E44" i="5"/>
  <c r="G44" i="5" s="1"/>
  <c r="E43" i="5"/>
  <c r="G43" i="5" s="1"/>
  <c r="E42" i="5"/>
  <c r="G42" i="5" s="1"/>
  <c r="E41" i="5"/>
  <c r="G41" i="5" s="1"/>
  <c r="E40" i="5"/>
  <c r="G40" i="5" s="1"/>
  <c r="E39" i="5"/>
  <c r="G39" i="5" s="1"/>
  <c r="E38" i="5"/>
  <c r="G38" i="5" s="1"/>
  <c r="E37" i="5"/>
  <c r="G37" i="5" s="1"/>
  <c r="E36" i="5"/>
  <c r="G36" i="5" s="1"/>
  <c r="E35" i="5"/>
  <c r="G35" i="5" s="1"/>
  <c r="E34" i="5"/>
  <c r="G34" i="5" s="1"/>
  <c r="E33" i="5"/>
  <c r="G33" i="5" s="1"/>
  <c r="E32" i="5"/>
  <c r="G32" i="5" s="1"/>
  <c r="E31" i="5"/>
  <c r="G31" i="5" s="1"/>
  <c r="E29" i="5"/>
  <c r="G29" i="5" s="1"/>
  <c r="E28" i="5"/>
  <c r="G28" i="5" s="1"/>
  <c r="E26" i="5"/>
  <c r="G26" i="5" s="1"/>
  <c r="E25" i="5"/>
  <c r="G25" i="5" s="1"/>
  <c r="E24" i="5"/>
  <c r="G24" i="5" s="1"/>
  <c r="E23" i="5"/>
  <c r="G23" i="5" s="1"/>
  <c r="E22" i="5"/>
  <c r="G22" i="5" s="1"/>
  <c r="E21" i="5"/>
  <c r="G21" i="5" s="1"/>
  <c r="E19" i="5"/>
  <c r="G19" i="5" s="1"/>
  <c r="E17" i="5"/>
  <c r="G17" i="5" s="1"/>
  <c r="E16" i="5"/>
  <c r="G16" i="5" s="1"/>
  <c r="E15" i="5"/>
  <c r="G15" i="5" s="1"/>
  <c r="D20" i="5"/>
  <c r="D14" i="5"/>
  <c r="E14" i="5" s="1"/>
  <c r="B111" i="5"/>
  <c r="C20" i="5"/>
  <c r="F93" i="5"/>
  <c r="F87" i="5"/>
  <c r="F77" i="5"/>
  <c r="F71" i="5"/>
  <c r="F67" i="5"/>
  <c r="F60" i="5"/>
  <c r="F46" i="5"/>
  <c r="F27" i="5"/>
  <c r="E76" i="5"/>
  <c r="G76" i="5" s="1"/>
  <c r="F20" i="5"/>
  <c r="F14" i="5"/>
  <c r="D13" i="5" l="1"/>
  <c r="D66" i="5"/>
  <c r="D4" i="5"/>
  <c r="D111" i="5" s="1"/>
  <c r="E71" i="5"/>
  <c r="G71" i="5" s="1"/>
  <c r="E8" i="5"/>
  <c r="G8" i="5" s="1"/>
  <c r="G67" i="5"/>
  <c r="E20" i="5"/>
  <c r="G20" i="5" s="1"/>
  <c r="G87" i="5"/>
  <c r="G46" i="5"/>
  <c r="G27" i="5"/>
  <c r="G93" i="5"/>
  <c r="G60" i="5"/>
  <c r="F66" i="5"/>
  <c r="G77" i="5"/>
  <c r="G14" i="5"/>
  <c r="C13" i="5"/>
  <c r="E43" i="3"/>
  <c r="E39" i="3"/>
  <c r="E33" i="3"/>
  <c r="E27" i="3"/>
  <c r="D28" i="3"/>
  <c r="E16" i="3"/>
  <c r="F14" i="3"/>
  <c r="E10" i="3"/>
  <c r="F8" i="3"/>
  <c r="E4" i="3"/>
  <c r="D15" i="1"/>
  <c r="F8" i="2"/>
  <c r="E63" i="2"/>
  <c r="E47" i="2"/>
  <c r="D47" i="2"/>
  <c r="F47" i="2" s="1"/>
  <c r="E40" i="2"/>
  <c r="D40" i="2"/>
  <c r="F40" i="2" s="1"/>
  <c r="E20" i="2"/>
  <c r="E17" i="2"/>
  <c r="D17" i="2"/>
  <c r="F17" i="2" s="1"/>
  <c r="E10" i="2"/>
  <c r="D10" i="2"/>
  <c r="F10" i="2" s="1"/>
  <c r="E4" i="2"/>
  <c r="D4" i="2"/>
  <c r="F4" i="2" s="1"/>
  <c r="C17" i="1"/>
  <c r="C11" i="1"/>
  <c r="B11" i="1"/>
  <c r="C6" i="1"/>
  <c r="B6" i="1"/>
  <c r="D6" i="1" s="1"/>
  <c r="D35" i="2"/>
  <c r="E66" i="5" l="1"/>
  <c r="G66" i="5" s="1"/>
  <c r="C111" i="5"/>
  <c r="E13" i="5"/>
  <c r="E48" i="3"/>
  <c r="E73" i="2"/>
  <c r="D11" i="1"/>
  <c r="C21" i="1"/>
  <c r="E18" i="4"/>
  <c r="F47" i="3"/>
  <c r="E4" i="5" l="1"/>
  <c r="G4" i="5" s="1"/>
  <c r="G13" i="5"/>
  <c r="G111" i="5" s="1"/>
  <c r="E111" i="5"/>
  <c r="F15" i="4"/>
  <c r="D13" i="4"/>
  <c r="F13" i="4" s="1"/>
  <c r="F11" i="4"/>
  <c r="F9" i="4"/>
  <c r="F7" i="4"/>
  <c r="D5" i="4"/>
  <c r="D46" i="3"/>
  <c r="F46" i="3" s="1"/>
  <c r="D45" i="3"/>
  <c r="F45" i="3" s="1"/>
  <c r="D44" i="3"/>
  <c r="F42" i="3"/>
  <c r="D41" i="3"/>
  <c r="F41" i="3" s="1"/>
  <c r="D40" i="3"/>
  <c r="D38" i="3"/>
  <c r="F38" i="3" s="1"/>
  <c r="D37" i="3"/>
  <c r="F37" i="3" s="1"/>
  <c r="F36" i="3"/>
  <c r="F35" i="3"/>
  <c r="D34" i="3"/>
  <c r="D32" i="3"/>
  <c r="F32" i="3" s="1"/>
  <c r="D31" i="3"/>
  <c r="F31" i="3" s="1"/>
  <c r="D30" i="3"/>
  <c r="F30" i="3" s="1"/>
  <c r="D29" i="3"/>
  <c r="F28" i="3"/>
  <c r="F26" i="3"/>
  <c r="D25" i="3"/>
  <c r="F25" i="3" s="1"/>
  <c r="F24" i="3"/>
  <c r="D23" i="3"/>
  <c r="F23" i="3" s="1"/>
  <c r="F22" i="3"/>
  <c r="D21" i="3"/>
  <c r="F21" i="3" s="1"/>
  <c r="D20" i="3"/>
  <c r="F20" i="3" s="1"/>
  <c r="D19" i="3"/>
  <c r="F18" i="3"/>
  <c r="F17" i="3"/>
  <c r="F15" i="3"/>
  <c r="D13" i="3"/>
  <c r="F12" i="3"/>
  <c r="F11" i="3"/>
  <c r="F9" i="3"/>
  <c r="F7" i="3"/>
  <c r="D6" i="3"/>
  <c r="D70" i="2"/>
  <c r="D69" i="2"/>
  <c r="F39" i="2"/>
  <c r="D38" i="2"/>
  <c r="D33" i="2"/>
  <c r="D25" i="2"/>
  <c r="D20" i="2" s="1"/>
  <c r="B19" i="1"/>
  <c r="D18" i="1"/>
  <c r="D16" i="1"/>
  <c r="D14" i="1"/>
  <c r="D13" i="1"/>
  <c r="D12" i="1"/>
  <c r="D10" i="1"/>
  <c r="D9" i="1"/>
  <c r="D8" i="1"/>
  <c r="D7" i="1"/>
  <c r="F44" i="3" l="1"/>
  <c r="D43" i="3"/>
  <c r="F43" i="3" s="1"/>
  <c r="F40" i="3"/>
  <c r="D39" i="3"/>
  <c r="F39" i="3" s="1"/>
  <c r="F34" i="3"/>
  <c r="D33" i="3"/>
  <c r="F33" i="3" s="1"/>
  <c r="F29" i="3"/>
  <c r="D27" i="3"/>
  <c r="F27" i="3" s="1"/>
  <c r="F19" i="3"/>
  <c r="D16" i="3"/>
  <c r="F16" i="3" s="1"/>
  <c r="F13" i="3"/>
  <c r="D10" i="3"/>
  <c r="F10" i="3" s="1"/>
  <c r="F6" i="3"/>
  <c r="D4" i="3"/>
  <c r="D63" i="2"/>
  <c r="F63" i="2" s="1"/>
  <c r="F20" i="2"/>
  <c r="D19" i="1"/>
  <c r="B17" i="1"/>
  <c r="F72" i="2"/>
  <c r="F71" i="2"/>
  <c r="F65" i="2"/>
  <c r="F66" i="2"/>
  <c r="F67" i="2"/>
  <c r="F68" i="2"/>
  <c r="F69" i="2"/>
  <c r="F70" i="2"/>
  <c r="F64" i="2"/>
  <c r="F56" i="2"/>
  <c r="F57" i="2"/>
  <c r="F58" i="2"/>
  <c r="F59" i="2"/>
  <c r="F60" i="2"/>
  <c r="F61" i="2"/>
  <c r="F49" i="2"/>
  <c r="F54" i="2"/>
  <c r="F55" i="2"/>
  <c r="F62" i="2"/>
  <c r="F50" i="2"/>
  <c r="F51" i="2"/>
  <c r="F52" i="2"/>
  <c r="F53" i="2"/>
  <c r="F48" i="2"/>
  <c r="F42" i="2"/>
  <c r="F43" i="2"/>
  <c r="F44" i="2"/>
  <c r="F45" i="2"/>
  <c r="F46" i="2"/>
  <c r="F41" i="2"/>
  <c r="F38" i="2"/>
  <c r="F37" i="2"/>
  <c r="F36" i="2"/>
  <c r="F32" i="2"/>
  <c r="F33" i="2"/>
  <c r="F34" i="2"/>
  <c r="F35" i="2"/>
  <c r="F22" i="2"/>
  <c r="F23" i="2"/>
  <c r="F24" i="2"/>
  <c r="F25" i="2"/>
  <c r="F26" i="2"/>
  <c r="F27" i="2"/>
  <c r="F28" i="2"/>
  <c r="F29" i="2"/>
  <c r="F30" i="2"/>
  <c r="F31" i="2"/>
  <c r="F21" i="2"/>
  <c r="F19" i="2"/>
  <c r="F18" i="2"/>
  <c r="F12" i="2"/>
  <c r="F14" i="2"/>
  <c r="F16" i="2"/>
  <c r="F13" i="2"/>
  <c r="F15" i="2"/>
  <c r="F11" i="2"/>
  <c r="F9" i="2"/>
  <c r="F7" i="2"/>
  <c r="F6" i="2"/>
  <c r="F5" i="4"/>
  <c r="D18" i="4"/>
  <c r="F18" i="4" s="1"/>
  <c r="F5" i="3"/>
  <c r="F5" i="2"/>
  <c r="D48" i="3" l="1"/>
  <c r="F48" i="3" s="1"/>
  <c r="F4" i="3"/>
  <c r="D73" i="2"/>
  <c r="F73" i="2" s="1"/>
  <c r="D17" i="1"/>
  <c r="B21" i="1"/>
  <c r="D21" i="1" s="1"/>
</calcChain>
</file>

<file path=xl/sharedStrings.xml><?xml version="1.0" encoding="utf-8"?>
<sst xmlns="http://schemas.openxmlformats.org/spreadsheetml/2006/main" count="325" uniqueCount="169">
  <si>
    <t>Prodi</t>
  </si>
  <si>
    <t>KTW s.d Agustus</t>
  </si>
  <si>
    <t>KTW September</t>
  </si>
  <si>
    <t>Maba 22</t>
  </si>
  <si>
    <t>Persentase</t>
  </si>
  <si>
    <t>Peringkat</t>
  </si>
  <si>
    <t>Maba 23</t>
  </si>
  <si>
    <t>D3 (Angkatan 22)</t>
  </si>
  <si>
    <t>S2 (angkatan 23)</t>
  </si>
  <si>
    <t>Fakultas Ekonomi dan Bisnis</t>
  </si>
  <si>
    <t>D3 Akuntansi</t>
  </si>
  <si>
    <t>Magister Ilmu Akuntansi</t>
  </si>
  <si>
    <t>D3 Keuangan dan Perbankan</t>
  </si>
  <si>
    <t>Magister Ilmu Ekonomi</t>
  </si>
  <si>
    <t>D3 Manajemen Pemasaran</t>
  </si>
  <si>
    <t>Magister Manajemen</t>
  </si>
  <si>
    <t>D3 Perpajakan</t>
  </si>
  <si>
    <t>Fakultas Hukum</t>
  </si>
  <si>
    <t>Fakultas Ilmu Sosial dan Ilmu Politik</t>
  </si>
  <si>
    <t>Magister Ilmu Hukum</t>
  </si>
  <si>
    <t>D3 Administrasi Perkantoran</t>
  </si>
  <si>
    <t>D3 Perpustakaan</t>
  </si>
  <si>
    <t>Magister Ilmu Administrasi</t>
  </si>
  <si>
    <t>D3 Hubungan Masyarakat</t>
  </si>
  <si>
    <t>Magister Ilmu Komunikasi</t>
  </si>
  <si>
    <t>Fakultas Matematika dan Ilmu Pengetahuan Alam</t>
  </si>
  <si>
    <t>Magister Ilmu Pemerintahan</t>
  </si>
  <si>
    <t>D3 Manajemen Informatika</t>
  </si>
  <si>
    <t>Fakultas Kedokteran</t>
  </si>
  <si>
    <t>Fakultas Teknik</t>
  </si>
  <si>
    <t>Magister Kesehatan Masyarakat</t>
  </si>
  <si>
    <t>D3 Teknik Mesin</t>
  </si>
  <si>
    <t>Fakultas Keguruan dan Ilmu Pendidikan</t>
  </si>
  <si>
    <t>D3 Teknik Sipil</t>
  </si>
  <si>
    <t>Magister Administrasi Pendidikan</t>
  </si>
  <si>
    <t>Magister Keguruan Guru Sekolah Dasar</t>
  </si>
  <si>
    <t>Fakultas/Prodi</t>
  </si>
  <si>
    <t>Maba 21</t>
  </si>
  <si>
    <t>Magister Pendidikan Bahasa dan Kebudayaan Lampung</t>
  </si>
  <si>
    <t>S1 (angkatan 21)</t>
  </si>
  <si>
    <t>Magister Pendidikan Bahasa dan Sastra Indonesia</t>
  </si>
  <si>
    <t>Magister Pendidikan Bahasa Inggris</t>
  </si>
  <si>
    <t>Akuntansi</t>
  </si>
  <si>
    <t>Magister Pendidikan Fisika</t>
  </si>
  <si>
    <t>Ekonomi Pembangunan</t>
  </si>
  <si>
    <t>Magister Pendidikan Ilmu Pengetahuan Alam</t>
  </si>
  <si>
    <t>Manajemen</t>
  </si>
  <si>
    <t>Magister Pendidikan IPS</t>
  </si>
  <si>
    <t>Magister Pendidikan Matematika</t>
  </si>
  <si>
    <t>Ilmu Hukum</t>
  </si>
  <si>
    <t>Magister Teknologi Pendidikan</t>
  </si>
  <si>
    <t>Hubungan Internasional</t>
  </si>
  <si>
    <t>Magister Biologi</t>
  </si>
  <si>
    <t>Ilmu Administrasi Bisnis</t>
  </si>
  <si>
    <t>Magister Fisika</t>
  </si>
  <si>
    <t>Ilmu Administrasi Negara</t>
  </si>
  <si>
    <t>Magister Ilmu Komputer</t>
  </si>
  <si>
    <t>Ilmu Komunikasi</t>
  </si>
  <si>
    <t>Magister Kimia</t>
  </si>
  <si>
    <t>Ilmu Pemerintahan</t>
  </si>
  <si>
    <t>Magister Matematika</t>
  </si>
  <si>
    <t>Sosiologi</t>
  </si>
  <si>
    <t>Fakultas Pertanian</t>
  </si>
  <si>
    <t>Magister Agribisnis</t>
  </si>
  <si>
    <t>Farmasi</t>
  </si>
  <si>
    <t>Magister Agronomi</t>
  </si>
  <si>
    <t>Pendidikan Dokter</t>
  </si>
  <si>
    <t>Magister Kehutanan</t>
  </si>
  <si>
    <t>Magister Penyuluh dan Komunikasi Pertanian</t>
  </si>
  <si>
    <t>Bimbingan dan Konseling</t>
  </si>
  <si>
    <t>Magister Teknologi Industri Pertanian</t>
  </si>
  <si>
    <t>Pendidikan Bahasa dan Sastra Indonesia</t>
  </si>
  <si>
    <t>Pendidikan Bahasa Inggris</t>
  </si>
  <si>
    <t>Magister Teknik Elektro</t>
  </si>
  <si>
    <t>Pendidikan Bahasa Lampung</t>
  </si>
  <si>
    <t>Magister Teknik Mesin</t>
  </si>
  <si>
    <t>Pendidikan Bahasa Perancis</t>
  </si>
  <si>
    <t>Magister Teknik Sipil</t>
  </si>
  <si>
    <t>Pendidikan Biologi</t>
  </si>
  <si>
    <t>Pascasarjana</t>
  </si>
  <si>
    <t>Pendidikan Ekonomi</t>
  </si>
  <si>
    <t>Magister Ilmu Lingkungan</t>
  </si>
  <si>
    <t>Pendidikan Fisika</t>
  </si>
  <si>
    <t>Magister Ilmu Penyuluhan Pembangunan/Pemberdayaan Masyarakat</t>
  </si>
  <si>
    <t>Pendidikan Geografi</t>
  </si>
  <si>
    <t>Magister Manajemen Wilayah Pesisir dan Laut</t>
  </si>
  <si>
    <t>Pendidikan Guru Pendidikan Anak Usia Dini</t>
  </si>
  <si>
    <t>Pendidikan Guru Sekolah Dasar</t>
  </si>
  <si>
    <t>Pendidikan Jasmani</t>
  </si>
  <si>
    <t>S3( Angkatan 21)</t>
  </si>
  <si>
    <t>Pendidikan Kimia</t>
  </si>
  <si>
    <t>Pendidikan Matematika</t>
  </si>
  <si>
    <t>S3 Ilmu Ekonomi</t>
  </si>
  <si>
    <t>Pendidikan Musik</t>
  </si>
  <si>
    <t>Pendidikan Pancasila dan Kewarganegaraan</t>
  </si>
  <si>
    <t>S3 Ilmu Hukum</t>
  </si>
  <si>
    <t>Pendidikan Sejarah</t>
  </si>
  <si>
    <t>Pendidikan Tari</t>
  </si>
  <si>
    <t>S3 Studi Pembangunan</t>
  </si>
  <si>
    <t>Pendidikan Teknologi Informasi</t>
  </si>
  <si>
    <t>S3 Pendidikan</t>
  </si>
  <si>
    <t>Biologi</t>
  </si>
  <si>
    <t>Biologi Terapan</t>
  </si>
  <si>
    <t>S3 Ilmu Pertanian</t>
  </si>
  <si>
    <t>Fisika</t>
  </si>
  <si>
    <t>Ilmu Komputer</t>
  </si>
  <si>
    <t>S3 Ilmu Lingkungan</t>
  </si>
  <si>
    <t>Kimia</t>
  </si>
  <si>
    <t>Matematika</t>
  </si>
  <si>
    <t>Agribisnis</t>
  </si>
  <si>
    <t>Agronomi</t>
  </si>
  <si>
    <t>Agroteknologi</t>
  </si>
  <si>
    <t>Budidaya Perairan</t>
  </si>
  <si>
    <t>Ilmu Kelautan</t>
  </si>
  <si>
    <t>Ilmu Tanah</t>
  </si>
  <si>
    <t>Kehutanan</t>
  </si>
  <si>
    <t>Nutrisi dan Teknologi Pakan Ternak</t>
  </si>
  <si>
    <t>Penyuluhan Pertanian</t>
  </si>
  <si>
    <t>Peternakan</t>
  </si>
  <si>
    <t>Proteksi Tanaman</t>
  </si>
  <si>
    <t>Sumberdaya Akuatik</t>
  </si>
  <si>
    <t>Teknik Pertanian</t>
  </si>
  <si>
    <t>Teknologi Hasil Pertanian</t>
  </si>
  <si>
    <t>Teknologi Industri Pertanian</t>
  </si>
  <si>
    <t>Arsitektur</t>
  </si>
  <si>
    <t>Teknik Elektro</t>
  </si>
  <si>
    <t>Teknik Geodesi</t>
  </si>
  <si>
    <t>Teknik Geofisika</t>
  </si>
  <si>
    <t>Teknik Informatika</t>
  </si>
  <si>
    <t>Teknik Kimia</t>
  </si>
  <si>
    <t>Teknik Lingkungan</t>
  </si>
  <si>
    <t>Teknik Mesin</t>
  </si>
  <si>
    <t>Teknik Sipil</t>
  </si>
  <si>
    <t>D3 SURVEY DAN PEMETAAN</t>
  </si>
  <si>
    <t>Total D3 Angkatan 22</t>
  </si>
  <si>
    <t>Kepala Biro Akademik dan Kemahasiswaan,</t>
  </si>
  <si>
    <t>Hero Satrian Arief, S.E., M.H.</t>
  </si>
  <si>
    <t>NIP 196802251987031001</t>
  </si>
  <si>
    <t>S3 ILMU MIPA</t>
  </si>
  <si>
    <t>MAGISTER PERENCANAAN WILAYAH DAN KOTA</t>
  </si>
  <si>
    <t>Total S1 Angkatan 21</t>
  </si>
  <si>
    <t>Total S2 Angkatan 2023</t>
  </si>
  <si>
    <t>Total S3 Angkatan 2021</t>
  </si>
  <si>
    <t>Lulusan Tepat Waktu Tahun 2025 periode Januari -November2025</t>
  </si>
  <si>
    <t>Total KTW s.d November</t>
  </si>
  <si>
    <t>Lulusan Tepat Waktu Tahun 2025 periode Januari -November 2025</t>
  </si>
  <si>
    <t>S3</t>
  </si>
  <si>
    <t>STARATA/FAKULTAS</t>
  </si>
  <si>
    <t>FEB</t>
  </si>
  <si>
    <t>FISIP</t>
  </si>
  <si>
    <t>FKIP</t>
  </si>
  <si>
    <t>FH</t>
  </si>
  <si>
    <t>PASCASARJANA</t>
  </si>
  <si>
    <t>Persentase KTW</t>
  </si>
  <si>
    <t>Maba 24</t>
  </si>
  <si>
    <t xml:space="preserve">Sosiologi </t>
  </si>
  <si>
    <t>Administrasi Negara</t>
  </si>
  <si>
    <t>S1 (Lulusan Angkatan 2022)</t>
  </si>
  <si>
    <t>Januari</t>
  </si>
  <si>
    <t>∑</t>
  </si>
  <si>
    <t>Total</t>
  </si>
  <si>
    <t>S2 (Lulusan Angkatan 2024)</t>
  </si>
  <si>
    <t>Maret</t>
  </si>
  <si>
    <t>April</t>
  </si>
  <si>
    <t>Magister Perencanaan Wilayah dan Kota</t>
  </si>
  <si>
    <t>FMIPA</t>
  </si>
  <si>
    <t>FP</t>
  </si>
  <si>
    <t>D3 (Lulusan Angkatan 2023)</t>
  </si>
  <si>
    <t>Kelulusan Tepat Waktu Periode Januari - April 2026 Per Fakultas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</si>
</sst>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10" fontId="0" fillId="0" borderId="0" xfId="1" applyNumberFormat="1" applyFont="1"/>
    <xf numFmtId="0" fontId="3" fillId="0" borderId="1" xfId="0" applyFont="1" applyBorder="1"/>
    <xf numFmtId="10" fontId="3" fillId="0" borderId="1" xfId="1" applyNumberFormat="1" applyFont="1" applyBorder="1"/>
    <xf numFmtId="10" fontId="0" fillId="0" borderId="1" xfId="1" applyNumberFormat="1" applyFont="1" applyBorder="1"/>
    <xf numFmtId="0" fontId="0" fillId="0" borderId="1" xfId="0" applyBorder="1"/>
    <xf numFmtId="10" fontId="3" fillId="0" borderId="0" xfId="1" applyNumberFormat="1" applyFont="1"/>
    <xf numFmtId="0" fontId="3" fillId="0" borderId="0" xfId="0" applyFont="1"/>
    <xf numFmtId="10" fontId="2" fillId="0" borderId="1" xfId="1" applyNumberFormat="1" applyFont="1" applyBorder="1"/>
    <xf numFmtId="10" fontId="4" fillId="0" borderId="1" xfId="1" applyNumberFormat="1" applyFont="1" applyBorder="1"/>
    <xf numFmtId="0" fontId="0" fillId="0" borderId="2" xfId="0" applyBorder="1"/>
    <xf numFmtId="0" fontId="0" fillId="0" borderId="1" xfId="0" applyFill="1" applyBorder="1"/>
    <xf numFmtId="0" fontId="7" fillId="0" borderId="1" xfId="0" applyFont="1" applyBorder="1"/>
    <xf numFmtId="10" fontId="7" fillId="0" borderId="1" xfId="1" applyNumberFormat="1" applyFont="1" applyBorder="1"/>
    <xf numFmtId="0" fontId="7" fillId="0" borderId="3" xfId="0" applyFont="1" applyBorder="1"/>
    <xf numFmtId="10" fontId="7" fillId="0" borderId="3" xfId="1" applyNumberFormat="1" applyFont="1" applyBorder="1"/>
    <xf numFmtId="0" fontId="0" fillId="0" borderId="0" xfId="0" applyBorder="1"/>
    <xf numFmtId="10" fontId="0" fillId="0" borderId="0" xfId="1" applyNumberFormat="1" applyFont="1" applyBorder="1"/>
    <xf numFmtId="0" fontId="5" fillId="0" borderId="0" xfId="0" applyFont="1" applyBorder="1"/>
    <xf numFmtId="0" fontId="0" fillId="0" borderId="4" xfId="0" applyBorder="1"/>
    <xf numFmtId="10" fontId="0" fillId="0" borderId="4" xfId="1" applyNumberFormat="1" applyFont="1" applyBorder="1"/>
    <xf numFmtId="0" fontId="3" fillId="0" borderId="5" xfId="0" applyFont="1" applyBorder="1"/>
    <xf numFmtId="10" fontId="3" fillId="0" borderId="5" xfId="1" applyNumberFormat="1" applyFont="1" applyBorder="1"/>
    <xf numFmtId="9" fontId="2" fillId="0" borderId="1" xfId="1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0" fontId="3" fillId="0" borderId="1" xfId="1" applyNumberFormat="1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 applyBorder="1" applyAlignment="1">
      <alignment vertical="center" wrapText="1"/>
    </xf>
    <xf numFmtId="0" fontId="6" fillId="0" borderId="0" xfId="0" applyFont="1" applyBorder="1" applyAlignment="1"/>
    <xf numFmtId="0" fontId="7" fillId="0" borderId="1" xfId="0" applyFont="1" applyFill="1" applyBorder="1"/>
    <xf numFmtId="0" fontId="7" fillId="0" borderId="1" xfId="0" applyFont="1" applyBorder="1" applyAlignment="1">
      <alignment wrapText="1"/>
    </xf>
    <xf numFmtId="10" fontId="7" fillId="0" borderId="1" xfId="1" applyNumberFormat="1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0" fontId="3" fillId="0" borderId="1" xfId="1" applyNumberFormat="1" applyFont="1" applyBorder="1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7" xfId="0" applyFill="1" applyBorder="1"/>
    <xf numFmtId="0" fontId="8" fillId="4" borderId="1" xfId="0" applyFont="1" applyFill="1" applyBorder="1"/>
    <xf numFmtId="0" fontId="9" fillId="4" borderId="1" xfId="0" applyFont="1" applyFill="1" applyBorder="1"/>
    <xf numFmtId="10" fontId="8" fillId="4" borderId="1" xfId="1" applyNumberFormat="1" applyFont="1" applyFill="1" applyBorder="1"/>
    <xf numFmtId="0" fontId="8" fillId="5" borderId="1" xfId="0" applyFont="1" applyFill="1" applyBorder="1"/>
    <xf numFmtId="0" fontId="9" fillId="5" borderId="1" xfId="0" applyFont="1" applyFill="1" applyBorder="1"/>
    <xf numFmtId="10" fontId="8" fillId="5" borderId="1" xfId="1" applyNumberFormat="1" applyFont="1" applyFill="1" applyBorder="1"/>
    <xf numFmtId="0" fontId="10" fillId="0" borderId="0" xfId="0" applyFont="1" applyAlignment="1">
      <alignment horizontal="center"/>
    </xf>
    <xf numFmtId="0" fontId="0" fillId="0" borderId="1" xfId="0" applyFont="1" applyBorder="1"/>
    <xf numFmtId="0" fontId="3" fillId="6" borderId="1" xfId="0" applyFont="1" applyFill="1" applyBorder="1"/>
    <xf numFmtId="10" fontId="3" fillId="6" borderId="1" xfId="1" applyNumberFormat="1" applyFont="1" applyFill="1" applyBorder="1"/>
    <xf numFmtId="0" fontId="8" fillId="7" borderId="1" xfId="0" applyFont="1" applyFill="1" applyBorder="1"/>
    <xf numFmtId="0" fontId="9" fillId="7" borderId="1" xfId="0" applyFont="1" applyFill="1" applyBorder="1"/>
    <xf numFmtId="10" fontId="8" fillId="7" borderId="1" xfId="1" applyNumberFormat="1" applyFont="1" applyFill="1" applyBorder="1"/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2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10" fillId="0" borderId="0" xfId="0" applyFont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workbookViewId="0">
      <selection activeCell="A22" sqref="A22"/>
    </sheetView>
  </sheetViews>
  <sheetFormatPr defaultRowHeight="15" x14ac:dyDescent="0.25"/>
  <cols>
    <col min="1" max="1" width="45.85546875" bestFit="1" customWidth="1"/>
    <col min="2" max="2" width="23.7109375" bestFit="1" customWidth="1"/>
    <col min="3" max="3" width="11.85546875" customWidth="1"/>
    <col min="4" max="4" width="11.28515625" style="1" bestFit="1" customWidth="1"/>
    <col min="5" max="5" width="11.28515625" customWidth="1"/>
    <col min="6" max="6" width="63.7109375" bestFit="1" customWidth="1"/>
    <col min="7" max="8" width="8.5703125" hidden="1" customWidth="1"/>
    <col min="9" max="9" width="23.7109375" bestFit="1" customWidth="1"/>
    <col min="11" max="11" width="9.140625" style="1"/>
  </cols>
  <sheetData>
    <row r="1" spans="1:11" x14ac:dyDescent="0.25">
      <c r="A1" s="16"/>
      <c r="B1" s="16"/>
      <c r="C1" s="16"/>
      <c r="D1" s="17"/>
      <c r="E1" s="16"/>
    </row>
    <row r="2" spans="1:11" x14ac:dyDescent="0.25">
      <c r="A2" s="16"/>
      <c r="B2" s="16"/>
      <c r="C2" s="16"/>
      <c r="D2" s="17"/>
      <c r="E2" s="16"/>
    </row>
    <row r="3" spans="1:11" x14ac:dyDescent="0.25">
      <c r="A3" s="55" t="s">
        <v>143</v>
      </c>
      <c r="B3" s="56"/>
      <c r="C3" s="56"/>
      <c r="D3" s="56"/>
      <c r="E3" s="56"/>
    </row>
    <row r="4" spans="1:11" x14ac:dyDescent="0.25">
      <c r="A4" s="2" t="s">
        <v>36</v>
      </c>
      <c r="B4" s="21" t="s">
        <v>144</v>
      </c>
      <c r="C4" s="21" t="s">
        <v>3</v>
      </c>
      <c r="D4" s="22" t="s">
        <v>4</v>
      </c>
      <c r="E4" s="21" t="s">
        <v>5</v>
      </c>
      <c r="K4"/>
    </row>
    <row r="5" spans="1:11" x14ac:dyDescent="0.25">
      <c r="A5" s="2" t="s">
        <v>7</v>
      </c>
      <c r="B5" s="2"/>
      <c r="C5" s="2"/>
      <c r="D5" s="3"/>
      <c r="E5" s="2"/>
      <c r="K5"/>
    </row>
    <row r="6" spans="1:11" x14ac:dyDescent="0.25">
      <c r="A6" s="2" t="s">
        <v>9</v>
      </c>
      <c r="B6" s="2">
        <f>SUM(B7:B10)</f>
        <v>74</v>
      </c>
      <c r="C6" s="2">
        <f>SUM(C7:C10)</f>
        <v>105</v>
      </c>
      <c r="D6" s="3">
        <f t="shared" ref="D6:D19" si="0">B6/C6</f>
        <v>0.70476190476190481</v>
      </c>
      <c r="E6" s="5"/>
      <c r="K6"/>
    </row>
    <row r="7" spans="1:11" x14ac:dyDescent="0.25">
      <c r="A7" s="5" t="s">
        <v>10</v>
      </c>
      <c r="B7" s="5">
        <v>27</v>
      </c>
      <c r="C7" s="5">
        <v>37</v>
      </c>
      <c r="D7" s="3">
        <f t="shared" si="0"/>
        <v>0.72972972972972971</v>
      </c>
      <c r="E7" s="5"/>
      <c r="K7"/>
    </row>
    <row r="8" spans="1:11" x14ac:dyDescent="0.25">
      <c r="A8" s="5" t="s">
        <v>12</v>
      </c>
      <c r="B8" s="5">
        <v>12</v>
      </c>
      <c r="C8" s="5">
        <v>16</v>
      </c>
      <c r="D8" s="4">
        <f t="shared" si="0"/>
        <v>0.75</v>
      </c>
      <c r="E8" s="5"/>
      <c r="K8"/>
    </row>
    <row r="9" spans="1:11" x14ac:dyDescent="0.25">
      <c r="A9" s="5" t="s">
        <v>14</v>
      </c>
      <c r="B9" s="5">
        <v>9</v>
      </c>
      <c r="C9" s="5">
        <v>14</v>
      </c>
      <c r="D9" s="4">
        <f t="shared" si="0"/>
        <v>0.6428571428571429</v>
      </c>
      <c r="E9" s="5"/>
      <c r="K9"/>
    </row>
    <row r="10" spans="1:11" x14ac:dyDescent="0.25">
      <c r="A10" s="5" t="s">
        <v>16</v>
      </c>
      <c r="B10" s="5">
        <v>26</v>
      </c>
      <c r="C10" s="5">
        <v>38</v>
      </c>
      <c r="D10" s="3">
        <f t="shared" si="0"/>
        <v>0.68421052631578949</v>
      </c>
      <c r="E10" s="5"/>
      <c r="K10"/>
    </row>
    <row r="11" spans="1:11" x14ac:dyDescent="0.25">
      <c r="A11" s="2" t="s">
        <v>18</v>
      </c>
      <c r="B11" s="2">
        <f>SUM(B12:B14)</f>
        <v>26</v>
      </c>
      <c r="C11" s="2">
        <f>SUM(C12:C14)</f>
        <v>43</v>
      </c>
      <c r="D11" s="3">
        <f t="shared" si="0"/>
        <v>0.60465116279069764</v>
      </c>
      <c r="E11" s="5"/>
      <c r="K11"/>
    </row>
    <row r="12" spans="1:11" x14ac:dyDescent="0.25">
      <c r="A12" s="5" t="s">
        <v>20</v>
      </c>
      <c r="B12" s="5">
        <v>14</v>
      </c>
      <c r="C12" s="5">
        <v>18</v>
      </c>
      <c r="D12" s="3">
        <f t="shared" si="0"/>
        <v>0.77777777777777779</v>
      </c>
      <c r="E12" s="5"/>
      <c r="K12"/>
    </row>
    <row r="13" spans="1:11" x14ac:dyDescent="0.25">
      <c r="A13" s="5" t="s">
        <v>21</v>
      </c>
      <c r="B13" s="5">
        <v>7</v>
      </c>
      <c r="C13" s="5">
        <v>11</v>
      </c>
      <c r="D13" s="4">
        <f t="shared" si="0"/>
        <v>0.63636363636363635</v>
      </c>
      <c r="E13" s="5"/>
      <c r="K13"/>
    </row>
    <row r="14" spans="1:11" x14ac:dyDescent="0.25">
      <c r="A14" s="5" t="s">
        <v>23</v>
      </c>
      <c r="B14" s="5">
        <v>5</v>
      </c>
      <c r="C14" s="5">
        <v>14</v>
      </c>
      <c r="D14" s="9">
        <f t="shared" si="0"/>
        <v>0.35714285714285715</v>
      </c>
      <c r="E14" s="5"/>
      <c r="K14"/>
    </row>
    <row r="15" spans="1:11" x14ac:dyDescent="0.25">
      <c r="A15" s="2" t="s">
        <v>25</v>
      </c>
      <c r="B15" s="2">
        <v>12</v>
      </c>
      <c r="C15" s="2">
        <v>34</v>
      </c>
      <c r="D15" s="3">
        <f t="shared" si="0"/>
        <v>0.35294117647058826</v>
      </c>
      <c r="E15" s="5"/>
      <c r="K15"/>
    </row>
    <row r="16" spans="1:11" x14ac:dyDescent="0.25">
      <c r="A16" s="5" t="s">
        <v>27</v>
      </c>
      <c r="B16" s="5">
        <v>12</v>
      </c>
      <c r="C16" s="5">
        <v>34</v>
      </c>
      <c r="D16" s="4">
        <f t="shared" si="0"/>
        <v>0.35294117647058826</v>
      </c>
      <c r="E16" s="5"/>
      <c r="K16"/>
    </row>
    <row r="17" spans="1:11" x14ac:dyDescent="0.25">
      <c r="A17" s="2" t="s">
        <v>29</v>
      </c>
      <c r="B17" s="2" t="e">
        <f>SUM(B18:B20)</f>
        <v>#REF!</v>
      </c>
      <c r="C17" s="2">
        <f>SUM(C18:C20)</f>
        <v>46</v>
      </c>
      <c r="D17" s="3" t="e">
        <f t="shared" si="0"/>
        <v>#REF!</v>
      </c>
      <c r="E17" s="5"/>
      <c r="K17"/>
    </row>
    <row r="18" spans="1:11" x14ac:dyDescent="0.25">
      <c r="A18" s="5" t="s">
        <v>31</v>
      </c>
      <c r="B18" s="5">
        <v>6</v>
      </c>
      <c r="C18" s="5">
        <v>12</v>
      </c>
      <c r="D18" s="4">
        <f t="shared" si="0"/>
        <v>0.5</v>
      </c>
      <c r="E18" s="5"/>
    </row>
    <row r="19" spans="1:11" x14ac:dyDescent="0.25">
      <c r="A19" s="5" t="s">
        <v>33</v>
      </c>
      <c r="B19" s="5" t="e">
        <f>#REF!+#REF!</f>
        <v>#REF!</v>
      </c>
      <c r="C19" s="5">
        <v>17</v>
      </c>
      <c r="D19" s="4" t="e">
        <f t="shared" si="0"/>
        <v>#REF!</v>
      </c>
      <c r="E19" s="5"/>
    </row>
    <row r="20" spans="1:11" x14ac:dyDescent="0.25">
      <c r="A20" s="5" t="s">
        <v>133</v>
      </c>
      <c r="B20" s="5"/>
      <c r="C20" s="5">
        <v>17</v>
      </c>
      <c r="D20" s="8">
        <v>0</v>
      </c>
      <c r="E20" s="5"/>
    </row>
    <row r="21" spans="1:11" ht="15.75" x14ac:dyDescent="0.25">
      <c r="A21" s="12" t="s">
        <v>134</v>
      </c>
      <c r="B21" s="14" t="e">
        <f>B6+B11+B15+B17</f>
        <v>#REF!</v>
      </c>
      <c r="C21" s="14">
        <f>C6+C11+C15+C17</f>
        <v>228</v>
      </c>
      <c r="D21" s="15" t="e">
        <f>B21/C21</f>
        <v>#REF!</v>
      </c>
      <c r="E21" s="14"/>
    </row>
    <row r="22" spans="1:11" x14ac:dyDescent="0.25">
      <c r="A22" s="16"/>
      <c r="B22" s="19"/>
      <c r="C22" s="19"/>
      <c r="D22" s="20"/>
      <c r="E22" s="19"/>
    </row>
    <row r="23" spans="1:11" ht="15.75" x14ac:dyDescent="0.25">
      <c r="A23" s="16"/>
      <c r="B23" s="18" t="s">
        <v>135</v>
      </c>
      <c r="C23" s="18"/>
      <c r="D23" s="18"/>
      <c r="E23" s="18"/>
    </row>
    <row r="24" spans="1:11" ht="15.75" x14ac:dyDescent="0.25">
      <c r="A24" s="16"/>
      <c r="B24" s="18"/>
      <c r="C24" s="18"/>
      <c r="D24" s="18"/>
      <c r="E24" s="18"/>
    </row>
    <row r="25" spans="1:11" ht="15.75" x14ac:dyDescent="0.25">
      <c r="A25" s="16"/>
      <c r="B25" s="18"/>
      <c r="C25" s="18"/>
      <c r="D25" s="18"/>
      <c r="E25" s="18"/>
    </row>
    <row r="26" spans="1:11" ht="15.75" x14ac:dyDescent="0.25">
      <c r="A26" s="16"/>
      <c r="B26" s="18"/>
      <c r="C26" s="18"/>
      <c r="D26" s="18"/>
      <c r="E26" s="18"/>
    </row>
    <row r="27" spans="1:11" ht="15.75" x14ac:dyDescent="0.25">
      <c r="A27" s="16"/>
      <c r="B27" s="18"/>
      <c r="C27" s="18"/>
      <c r="D27" s="18"/>
      <c r="E27" s="18"/>
    </row>
    <row r="28" spans="1:11" x14ac:dyDescent="0.25">
      <c r="A28" s="16"/>
      <c r="B28" s="57" t="s">
        <v>136</v>
      </c>
      <c r="C28" s="58"/>
      <c r="D28" s="58"/>
      <c r="E28" s="58"/>
    </row>
    <row r="29" spans="1:11" ht="15.75" x14ac:dyDescent="0.25">
      <c r="A29" s="16"/>
      <c r="B29" s="18" t="s">
        <v>137</v>
      </c>
      <c r="C29" s="18"/>
      <c r="D29" s="18"/>
      <c r="E29" s="18"/>
    </row>
    <row r="30" spans="1:11" x14ac:dyDescent="0.25">
      <c r="A30" s="16"/>
      <c r="B30" s="16"/>
      <c r="C30" s="16"/>
      <c r="D30" s="17"/>
      <c r="E30" s="16"/>
    </row>
    <row r="31" spans="1:11" x14ac:dyDescent="0.25">
      <c r="A31" s="10"/>
      <c r="B31" s="16"/>
      <c r="C31" s="16"/>
      <c r="D31" s="17"/>
      <c r="E31" s="16"/>
    </row>
    <row r="32" spans="1:11" x14ac:dyDescent="0.25">
      <c r="B32" s="16"/>
      <c r="C32" s="16"/>
      <c r="D32" s="17"/>
      <c r="E32" s="16"/>
    </row>
    <row r="33" spans="2:5" x14ac:dyDescent="0.25">
      <c r="B33" s="16"/>
      <c r="C33" s="16"/>
      <c r="D33" s="17"/>
      <c r="E33" s="16"/>
    </row>
    <row r="92" spans="4:5" x14ac:dyDescent="0.25">
      <c r="D92" s="6"/>
      <c r="E92" s="7"/>
    </row>
    <row r="134" spans="4:5" x14ac:dyDescent="0.25">
      <c r="D134" s="6"/>
      <c r="E134" s="7"/>
    </row>
  </sheetData>
  <mergeCells count="2">
    <mergeCell ref="A3:E3"/>
    <mergeCell ref="B28:E28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5B90-7850-4F84-A0D7-E65C17063951}">
  <sheetPr>
    <pageSetUpPr fitToPage="1"/>
  </sheetPr>
  <dimension ref="A1:K111"/>
  <sheetViews>
    <sheetView tabSelected="1" workbookViewId="0">
      <selection activeCell="E27" sqref="D27:E27"/>
    </sheetView>
  </sheetViews>
  <sheetFormatPr defaultRowHeight="15" x14ac:dyDescent="0.25"/>
  <cols>
    <col min="1" max="1" width="52.42578125" bestFit="1" customWidth="1"/>
    <col min="2" max="2" width="9.5703125" customWidth="1"/>
    <col min="3" max="3" width="8" customWidth="1"/>
    <col min="4" max="4" width="6.7109375" customWidth="1"/>
    <col min="5" max="5" width="5.7109375" customWidth="1"/>
    <col min="6" max="6" width="11.140625" bestFit="1" customWidth="1"/>
    <col min="7" max="7" width="20" style="1" bestFit="1" customWidth="1"/>
    <col min="10" max="10" width="15.42578125" bestFit="1" customWidth="1"/>
  </cols>
  <sheetData>
    <row r="1" spans="1:11" ht="21" x14ac:dyDescent="0.35">
      <c r="A1" s="59" t="s">
        <v>168</v>
      </c>
      <c r="B1" s="59"/>
      <c r="C1" s="59"/>
      <c r="D1" s="59"/>
      <c r="E1" s="59"/>
      <c r="F1" s="59"/>
      <c r="G1" s="59"/>
      <c r="H1" s="38"/>
      <c r="I1" s="38"/>
      <c r="J1" s="38"/>
      <c r="K1" s="38"/>
    </row>
    <row r="2" spans="1:11" ht="21" x14ac:dyDescent="0.35">
      <c r="A2" s="48"/>
      <c r="B2" s="48"/>
      <c r="C2" s="48"/>
      <c r="D2" s="48"/>
      <c r="E2" s="48"/>
      <c r="F2" s="48"/>
      <c r="G2" s="48"/>
      <c r="H2" s="38"/>
      <c r="I2" s="38"/>
      <c r="J2" s="38"/>
      <c r="K2" s="38"/>
    </row>
    <row r="3" spans="1:11" ht="18.75" x14ac:dyDescent="0.3">
      <c r="A3" s="52" t="s">
        <v>147</v>
      </c>
      <c r="B3" s="52" t="s">
        <v>158</v>
      </c>
      <c r="C3" s="52" t="s">
        <v>162</v>
      </c>
      <c r="D3" s="52" t="s">
        <v>163</v>
      </c>
      <c r="E3" s="53" t="s">
        <v>159</v>
      </c>
      <c r="F3" s="52" t="s">
        <v>6</v>
      </c>
      <c r="G3" s="54" t="s">
        <v>153</v>
      </c>
      <c r="H3" s="38"/>
      <c r="I3" s="38"/>
      <c r="J3" s="38"/>
      <c r="K3" s="38"/>
    </row>
    <row r="4" spans="1:11" ht="15.75" x14ac:dyDescent="0.25">
      <c r="A4" s="12" t="s">
        <v>167</v>
      </c>
      <c r="B4" s="12"/>
      <c r="C4" s="12"/>
      <c r="D4" s="12">
        <f>D5+D8</f>
        <v>1</v>
      </c>
      <c r="E4" s="12">
        <f>B4+C4+D4</f>
        <v>1</v>
      </c>
      <c r="F4" s="12">
        <v>511</v>
      </c>
      <c r="G4" s="13">
        <f>E4/F4</f>
        <v>1.9569471624266144E-3</v>
      </c>
      <c r="H4" s="38"/>
      <c r="I4" s="38"/>
      <c r="J4" s="38"/>
      <c r="K4" s="38"/>
    </row>
    <row r="5" spans="1:11" x14ac:dyDescent="0.25">
      <c r="A5" s="2" t="s">
        <v>148</v>
      </c>
      <c r="B5" s="2"/>
      <c r="C5" s="2"/>
      <c r="D5" s="2">
        <f>D6+D7</f>
        <v>1</v>
      </c>
      <c r="E5" s="2">
        <f>B5+C5+D5</f>
        <v>1</v>
      </c>
      <c r="F5" s="2">
        <v>310</v>
      </c>
      <c r="G5" s="3">
        <f t="shared" ref="G5:G10" si="0">E5/F5</f>
        <v>3.2258064516129032E-3</v>
      </c>
      <c r="H5" s="38"/>
      <c r="I5" s="38"/>
      <c r="J5" s="38"/>
      <c r="K5" s="38"/>
    </row>
    <row r="6" spans="1:11" x14ac:dyDescent="0.25">
      <c r="A6" s="39" t="s">
        <v>10</v>
      </c>
      <c r="B6" s="5"/>
      <c r="C6" s="5"/>
      <c r="D6" s="5"/>
      <c r="E6" s="5">
        <f>B6+C6+D6</f>
        <v>0</v>
      </c>
      <c r="F6" s="5">
        <v>72</v>
      </c>
      <c r="G6" s="4">
        <f t="shared" si="0"/>
        <v>0</v>
      </c>
      <c r="H6" s="38"/>
      <c r="I6" s="38"/>
      <c r="J6" s="38"/>
      <c r="K6" s="38"/>
    </row>
    <row r="7" spans="1:11" x14ac:dyDescent="0.25">
      <c r="A7" s="39" t="s">
        <v>16</v>
      </c>
      <c r="B7" s="5"/>
      <c r="C7" s="5"/>
      <c r="D7" s="5">
        <v>1</v>
      </c>
      <c r="E7" s="5">
        <f t="shared" ref="E7" si="1">B7+C7+D7</f>
        <v>1</v>
      </c>
      <c r="F7" s="5">
        <v>80</v>
      </c>
      <c r="G7" s="4">
        <f t="shared" si="0"/>
        <v>1.2500000000000001E-2</v>
      </c>
      <c r="H7" s="38"/>
      <c r="I7" s="38"/>
      <c r="J7" s="38"/>
      <c r="K7" s="38"/>
    </row>
    <row r="8" spans="1:11" hidden="1" x14ac:dyDescent="0.25">
      <c r="A8" s="2" t="s">
        <v>149</v>
      </c>
      <c r="B8" s="2"/>
      <c r="C8" s="2"/>
      <c r="D8" s="2">
        <f>D9+D10</f>
        <v>0</v>
      </c>
      <c r="E8" s="2">
        <f>B8+C8+D8</f>
        <v>0</v>
      </c>
      <c r="F8" s="2">
        <v>90</v>
      </c>
      <c r="G8" s="3">
        <f t="shared" si="0"/>
        <v>0</v>
      </c>
      <c r="H8" s="38"/>
      <c r="I8" s="38"/>
      <c r="J8" s="38"/>
      <c r="K8" s="38"/>
    </row>
    <row r="9" spans="1:11" hidden="1" x14ac:dyDescent="0.25">
      <c r="A9" s="49" t="s">
        <v>20</v>
      </c>
      <c r="B9" s="49"/>
      <c r="C9" s="49"/>
      <c r="D9" s="49"/>
      <c r="E9" s="5">
        <f t="shared" ref="E9:E10" si="2">B9+C9+D9</f>
        <v>0</v>
      </c>
      <c r="F9" s="49">
        <v>28</v>
      </c>
      <c r="G9" s="4">
        <f t="shared" si="0"/>
        <v>0</v>
      </c>
      <c r="H9" s="38"/>
      <c r="I9" s="38"/>
      <c r="J9" s="38"/>
      <c r="K9" s="38"/>
    </row>
    <row r="10" spans="1:11" hidden="1" x14ac:dyDescent="0.25">
      <c r="A10" s="5" t="s">
        <v>23</v>
      </c>
      <c r="B10" s="5"/>
      <c r="C10" s="5"/>
      <c r="D10" s="5"/>
      <c r="E10" s="5">
        <f t="shared" si="2"/>
        <v>0</v>
      </c>
      <c r="F10" s="5">
        <v>35</v>
      </c>
      <c r="G10" s="4">
        <f t="shared" si="0"/>
        <v>0</v>
      </c>
      <c r="H10" s="38"/>
      <c r="I10" s="38"/>
      <c r="J10" s="38"/>
      <c r="K10" s="38"/>
    </row>
    <row r="11" spans="1:11" ht="21" x14ac:dyDescent="0.35">
      <c r="A11" s="66"/>
      <c r="B11" s="66"/>
      <c r="C11" s="66"/>
      <c r="D11" s="66"/>
      <c r="E11" s="66"/>
      <c r="F11" s="66"/>
      <c r="G11" s="66"/>
      <c r="H11" s="38"/>
      <c r="I11" s="38"/>
      <c r="J11" s="38"/>
      <c r="K11" s="38"/>
    </row>
    <row r="12" spans="1:11" ht="18.75" x14ac:dyDescent="0.3">
      <c r="A12" s="42" t="s">
        <v>147</v>
      </c>
      <c r="B12" s="42" t="s">
        <v>158</v>
      </c>
      <c r="C12" s="42" t="s">
        <v>162</v>
      </c>
      <c r="D12" s="42" t="s">
        <v>163</v>
      </c>
      <c r="E12" s="43" t="s">
        <v>159</v>
      </c>
      <c r="F12" s="42" t="s">
        <v>3</v>
      </c>
      <c r="G12" s="44" t="s">
        <v>153</v>
      </c>
    </row>
    <row r="13" spans="1:11" ht="15.75" x14ac:dyDescent="0.25">
      <c r="A13" s="12" t="s">
        <v>157</v>
      </c>
      <c r="B13" s="12">
        <v>16</v>
      </c>
      <c r="C13" s="12">
        <f>C14+C18+C20+C27+C30+C46+C51+C60</f>
        <v>703</v>
      </c>
      <c r="D13" s="12">
        <f>D14+D18+D20+D27+D30+D46+D51+D60</f>
        <v>325</v>
      </c>
      <c r="E13" s="12">
        <f>B13+C13+D13</f>
        <v>1044</v>
      </c>
      <c r="F13" s="12">
        <v>9097</v>
      </c>
      <c r="G13" s="13">
        <f>E13/F13</f>
        <v>0.1147631087171595</v>
      </c>
    </row>
    <row r="14" spans="1:11" x14ac:dyDescent="0.25">
      <c r="A14" s="2" t="s">
        <v>148</v>
      </c>
      <c r="B14" s="2">
        <v>4</v>
      </c>
      <c r="C14" s="2">
        <v>23</v>
      </c>
      <c r="D14" s="2">
        <f>SUM(D15:D17)</f>
        <v>36</v>
      </c>
      <c r="E14" s="2">
        <f>B14+C14+D14</f>
        <v>63</v>
      </c>
      <c r="F14" s="2">
        <f>227+156+248</f>
        <v>631</v>
      </c>
      <c r="G14" s="3">
        <f t="shared" ref="G14:G63" si="3">E14/F14</f>
        <v>9.9841521394611721E-2</v>
      </c>
    </row>
    <row r="15" spans="1:11" x14ac:dyDescent="0.25">
      <c r="A15" s="39" t="s">
        <v>42</v>
      </c>
      <c r="B15" s="5">
        <v>2</v>
      </c>
      <c r="C15" s="5">
        <v>15</v>
      </c>
      <c r="D15" s="5">
        <v>12</v>
      </c>
      <c r="E15" s="5">
        <f>B15+C15+D15</f>
        <v>29</v>
      </c>
      <c r="F15" s="5">
        <v>227</v>
      </c>
      <c r="G15" s="4">
        <f t="shared" si="3"/>
        <v>0.1277533039647577</v>
      </c>
    </row>
    <row r="16" spans="1:11" x14ac:dyDescent="0.25">
      <c r="A16" s="39" t="s">
        <v>44</v>
      </c>
      <c r="B16" s="5"/>
      <c r="C16" s="5">
        <v>1</v>
      </c>
      <c r="D16" s="5">
        <v>8</v>
      </c>
      <c r="E16" s="5">
        <f t="shared" ref="E16:E17" si="4">B16+C16+D16</f>
        <v>9</v>
      </c>
      <c r="F16" s="5">
        <v>156</v>
      </c>
      <c r="G16" s="4">
        <f t="shared" si="3"/>
        <v>5.7692307692307696E-2</v>
      </c>
    </row>
    <row r="17" spans="1:7" x14ac:dyDescent="0.25">
      <c r="A17" s="39" t="s">
        <v>46</v>
      </c>
      <c r="B17" s="5">
        <v>2</v>
      </c>
      <c r="C17" s="5">
        <v>7</v>
      </c>
      <c r="D17" s="5">
        <v>16</v>
      </c>
      <c r="E17" s="5">
        <f t="shared" si="4"/>
        <v>25</v>
      </c>
      <c r="F17" s="5">
        <v>248</v>
      </c>
      <c r="G17" s="3">
        <f t="shared" si="3"/>
        <v>0.10080645161290322</v>
      </c>
    </row>
    <row r="18" spans="1:7" x14ac:dyDescent="0.25">
      <c r="A18" s="40" t="s">
        <v>151</v>
      </c>
      <c r="B18" s="2"/>
      <c r="C18" s="2">
        <v>211</v>
      </c>
      <c r="D18" s="2">
        <v>72</v>
      </c>
      <c r="E18" s="2">
        <f>B18+C18+D18</f>
        <v>283</v>
      </c>
      <c r="F18" s="2">
        <v>1021</v>
      </c>
      <c r="G18" s="3">
        <f t="shared" si="3"/>
        <v>0.27717923604309502</v>
      </c>
    </row>
    <row r="19" spans="1:7" x14ac:dyDescent="0.25">
      <c r="A19" s="5" t="s">
        <v>49</v>
      </c>
      <c r="B19" s="5"/>
      <c r="C19" s="5">
        <v>211</v>
      </c>
      <c r="D19" s="5">
        <v>72</v>
      </c>
      <c r="E19" s="5">
        <f>B19+C19+D19</f>
        <v>283</v>
      </c>
      <c r="F19" s="5">
        <v>1021</v>
      </c>
      <c r="G19" s="4">
        <f t="shared" si="3"/>
        <v>0.27717923604309502</v>
      </c>
    </row>
    <row r="20" spans="1:7" x14ac:dyDescent="0.25">
      <c r="A20" s="2" t="s">
        <v>149</v>
      </c>
      <c r="B20" s="2">
        <v>12</v>
      </c>
      <c r="C20" s="2">
        <f>SUM(C22:C26)</f>
        <v>63</v>
      </c>
      <c r="D20" s="2">
        <f>SUM(D21:D26)</f>
        <v>51</v>
      </c>
      <c r="E20" s="2">
        <f>B20+C20+D20</f>
        <v>126</v>
      </c>
      <c r="F20" s="2">
        <f>205+221+222+220+182+155</f>
        <v>1205</v>
      </c>
      <c r="G20" s="3">
        <f t="shared" si="3"/>
        <v>0.1045643153526971</v>
      </c>
    </row>
    <row r="21" spans="1:7" x14ac:dyDescent="0.25">
      <c r="A21" s="49" t="s">
        <v>51</v>
      </c>
      <c r="B21" s="49"/>
      <c r="C21" s="49">
        <v>0</v>
      </c>
      <c r="D21" s="49">
        <v>10</v>
      </c>
      <c r="E21" s="5">
        <f t="shared" ref="E21:E26" si="5">B21+C21+D21</f>
        <v>10</v>
      </c>
      <c r="F21" s="49">
        <v>205</v>
      </c>
      <c r="G21" s="4">
        <f t="shared" si="3"/>
        <v>4.878048780487805E-2</v>
      </c>
    </row>
    <row r="22" spans="1:7" x14ac:dyDescent="0.25">
      <c r="A22" s="5" t="s">
        <v>156</v>
      </c>
      <c r="B22" s="5"/>
      <c r="C22" s="5">
        <v>10</v>
      </c>
      <c r="D22" s="5">
        <v>7</v>
      </c>
      <c r="E22" s="5">
        <f t="shared" si="5"/>
        <v>17</v>
      </c>
      <c r="F22" s="5">
        <v>221</v>
      </c>
      <c r="G22" s="4">
        <f t="shared" si="3"/>
        <v>7.6923076923076927E-2</v>
      </c>
    </row>
    <row r="23" spans="1:7" x14ac:dyDescent="0.25">
      <c r="A23" s="5" t="s">
        <v>53</v>
      </c>
      <c r="B23" s="5"/>
      <c r="C23" s="5">
        <v>18</v>
      </c>
      <c r="D23" s="5">
        <v>13</v>
      </c>
      <c r="E23" s="5">
        <f t="shared" si="5"/>
        <v>31</v>
      </c>
      <c r="F23" s="5">
        <v>222</v>
      </c>
      <c r="G23" s="4">
        <f t="shared" si="3"/>
        <v>0.13963963963963963</v>
      </c>
    </row>
    <row r="24" spans="1:7" x14ac:dyDescent="0.25">
      <c r="A24" s="39" t="s">
        <v>57</v>
      </c>
      <c r="B24" s="5">
        <v>4</v>
      </c>
      <c r="C24" s="5">
        <v>14</v>
      </c>
      <c r="D24" s="5">
        <v>4</v>
      </c>
      <c r="E24" s="5">
        <f t="shared" si="5"/>
        <v>22</v>
      </c>
      <c r="F24" s="5">
        <v>220</v>
      </c>
      <c r="G24" s="4">
        <f t="shared" si="3"/>
        <v>0.1</v>
      </c>
    </row>
    <row r="25" spans="1:7" x14ac:dyDescent="0.25">
      <c r="A25" s="5" t="s">
        <v>59</v>
      </c>
      <c r="B25" s="5"/>
      <c r="C25" s="5">
        <v>6</v>
      </c>
      <c r="D25" s="5">
        <v>15</v>
      </c>
      <c r="E25" s="5">
        <f t="shared" si="5"/>
        <v>21</v>
      </c>
      <c r="F25" s="5">
        <v>182</v>
      </c>
      <c r="G25" s="4">
        <f t="shared" si="3"/>
        <v>0.11538461538461539</v>
      </c>
    </row>
    <row r="26" spans="1:7" x14ac:dyDescent="0.25">
      <c r="A26" s="5" t="s">
        <v>155</v>
      </c>
      <c r="B26" s="5">
        <v>8</v>
      </c>
      <c r="C26" s="5">
        <v>15</v>
      </c>
      <c r="D26" s="5">
        <v>2</v>
      </c>
      <c r="E26" s="5">
        <f t="shared" si="5"/>
        <v>25</v>
      </c>
      <c r="F26" s="5">
        <v>155</v>
      </c>
      <c r="G26" s="4">
        <f t="shared" si="3"/>
        <v>0.16129032258064516</v>
      </c>
    </row>
    <row r="27" spans="1:7" x14ac:dyDescent="0.25">
      <c r="A27" s="2" t="s">
        <v>28</v>
      </c>
      <c r="B27" s="2"/>
      <c r="C27" s="2">
        <v>207</v>
      </c>
      <c r="D27" s="2">
        <v>5</v>
      </c>
      <c r="E27" s="2">
        <f>B27+C27+D27</f>
        <v>212</v>
      </c>
      <c r="F27" s="2">
        <f>97+246</f>
        <v>343</v>
      </c>
      <c r="G27" s="3">
        <f t="shared" si="3"/>
        <v>0.61807580174927113</v>
      </c>
    </row>
    <row r="28" spans="1:7" x14ac:dyDescent="0.25">
      <c r="A28" s="5" t="s">
        <v>64</v>
      </c>
      <c r="B28" s="5"/>
      <c r="C28" s="5">
        <v>23</v>
      </c>
      <c r="D28" s="5">
        <v>5</v>
      </c>
      <c r="E28" s="5">
        <f t="shared" ref="E28:E29" si="6">B28+C28+D28</f>
        <v>28</v>
      </c>
      <c r="F28" s="5">
        <v>97</v>
      </c>
      <c r="G28" s="4">
        <f t="shared" si="3"/>
        <v>0.28865979381443296</v>
      </c>
    </row>
    <row r="29" spans="1:7" x14ac:dyDescent="0.25">
      <c r="A29" s="5" t="s">
        <v>66</v>
      </c>
      <c r="B29" s="5"/>
      <c r="C29" s="5">
        <v>184</v>
      </c>
      <c r="D29" s="5">
        <v>0</v>
      </c>
      <c r="E29" s="5">
        <f t="shared" si="6"/>
        <v>184</v>
      </c>
      <c r="F29" s="5">
        <v>246</v>
      </c>
      <c r="G29" s="4">
        <f t="shared" si="3"/>
        <v>0.74796747967479671</v>
      </c>
    </row>
    <row r="30" spans="1:7" x14ac:dyDescent="0.25">
      <c r="A30" s="2" t="s">
        <v>32</v>
      </c>
      <c r="B30" s="2"/>
      <c r="C30" s="2">
        <v>155</v>
      </c>
      <c r="D30" s="2">
        <f>SUM(D31:D45)</f>
        <v>102</v>
      </c>
      <c r="E30" s="2">
        <f>B30+C30+D30</f>
        <v>257</v>
      </c>
      <c r="F30" s="2">
        <v>2265</v>
      </c>
      <c r="G30" s="3">
        <f t="shared" si="3"/>
        <v>0.11346578366445915</v>
      </c>
    </row>
    <row r="31" spans="1:7" x14ac:dyDescent="0.25">
      <c r="A31" s="5" t="s">
        <v>69</v>
      </c>
      <c r="B31" s="5"/>
      <c r="C31" s="5">
        <v>4</v>
      </c>
      <c r="D31" s="5">
        <v>4</v>
      </c>
      <c r="E31" s="5">
        <f t="shared" ref="E31:E45" si="7">B31+C31+D31</f>
        <v>8</v>
      </c>
      <c r="F31" s="5">
        <v>135</v>
      </c>
      <c r="G31" s="4">
        <f t="shared" si="3"/>
        <v>5.9259259259259262E-2</v>
      </c>
    </row>
    <row r="32" spans="1:7" x14ac:dyDescent="0.25">
      <c r="A32" s="5" t="s">
        <v>71</v>
      </c>
      <c r="B32" s="5"/>
      <c r="C32" s="5">
        <v>5</v>
      </c>
      <c r="D32" s="5">
        <v>11</v>
      </c>
      <c r="E32" s="5">
        <f t="shared" si="7"/>
        <v>16</v>
      </c>
      <c r="F32" s="5">
        <v>115</v>
      </c>
      <c r="G32" s="4">
        <f t="shared" si="3"/>
        <v>0.1391304347826087</v>
      </c>
    </row>
    <row r="33" spans="1:7" x14ac:dyDescent="0.25">
      <c r="A33" s="5" t="s">
        <v>72</v>
      </c>
      <c r="B33" s="5"/>
      <c r="C33" s="5">
        <v>10</v>
      </c>
      <c r="D33" s="5">
        <v>9</v>
      </c>
      <c r="E33" s="5">
        <f t="shared" si="7"/>
        <v>19</v>
      </c>
      <c r="F33" s="5">
        <v>131</v>
      </c>
      <c r="G33" s="4">
        <f t="shared" si="3"/>
        <v>0.14503816793893129</v>
      </c>
    </row>
    <row r="34" spans="1:7" x14ac:dyDescent="0.25">
      <c r="A34" s="5" t="s">
        <v>74</v>
      </c>
      <c r="B34" s="5"/>
      <c r="C34" s="5">
        <v>5</v>
      </c>
      <c r="D34" s="5">
        <v>11</v>
      </c>
      <c r="E34" s="5">
        <f t="shared" si="7"/>
        <v>16</v>
      </c>
      <c r="F34" s="5">
        <v>114</v>
      </c>
      <c r="G34" s="4">
        <f t="shared" si="3"/>
        <v>0.14035087719298245</v>
      </c>
    </row>
    <row r="35" spans="1:7" x14ac:dyDescent="0.25">
      <c r="A35" s="5" t="s">
        <v>76</v>
      </c>
      <c r="B35" s="5"/>
      <c r="C35" s="5">
        <v>3</v>
      </c>
      <c r="D35" s="5">
        <v>1</v>
      </c>
      <c r="E35" s="5">
        <f t="shared" si="7"/>
        <v>4</v>
      </c>
      <c r="F35" s="5">
        <v>56</v>
      </c>
      <c r="G35" s="4">
        <f t="shared" si="3"/>
        <v>7.1428571428571425E-2</v>
      </c>
    </row>
    <row r="36" spans="1:7" x14ac:dyDescent="0.25">
      <c r="A36" s="5" t="s">
        <v>80</v>
      </c>
      <c r="B36" s="5"/>
      <c r="C36" s="5">
        <v>28</v>
      </c>
      <c r="D36" s="5">
        <v>1</v>
      </c>
      <c r="E36" s="5">
        <f t="shared" si="7"/>
        <v>29</v>
      </c>
      <c r="F36" s="5">
        <v>113</v>
      </c>
      <c r="G36" s="4">
        <f t="shared" si="3"/>
        <v>0.25663716814159293</v>
      </c>
    </row>
    <row r="37" spans="1:7" x14ac:dyDescent="0.25">
      <c r="A37" s="5" t="s">
        <v>84</v>
      </c>
      <c r="B37" s="5"/>
      <c r="C37" s="5">
        <v>4</v>
      </c>
      <c r="D37" s="5">
        <v>4</v>
      </c>
      <c r="E37" s="5">
        <f t="shared" si="7"/>
        <v>8</v>
      </c>
      <c r="F37" s="5">
        <v>112</v>
      </c>
      <c r="G37" s="4">
        <f t="shared" si="3"/>
        <v>7.1428571428571425E-2</v>
      </c>
    </row>
    <row r="38" spans="1:7" x14ac:dyDescent="0.25">
      <c r="A38" s="5" t="s">
        <v>87</v>
      </c>
      <c r="B38" s="5"/>
      <c r="C38" s="5">
        <v>33</v>
      </c>
      <c r="D38" s="5">
        <v>1</v>
      </c>
      <c r="E38" s="5">
        <f t="shared" si="7"/>
        <v>34</v>
      </c>
      <c r="F38" s="5">
        <v>366</v>
      </c>
      <c r="G38" s="4">
        <f t="shared" si="3"/>
        <v>9.2896174863387984E-2</v>
      </c>
    </row>
    <row r="39" spans="1:7" x14ac:dyDescent="0.25">
      <c r="A39" s="5" t="s">
        <v>88</v>
      </c>
      <c r="B39" s="5"/>
      <c r="C39" s="5">
        <v>9</v>
      </c>
      <c r="D39" s="5">
        <v>37</v>
      </c>
      <c r="E39" s="5">
        <f t="shared" si="7"/>
        <v>46</v>
      </c>
      <c r="F39" s="5">
        <v>150</v>
      </c>
      <c r="G39" s="4">
        <f t="shared" si="3"/>
        <v>0.30666666666666664</v>
      </c>
    </row>
    <row r="40" spans="1:7" x14ac:dyDescent="0.25">
      <c r="A40" s="5" t="s">
        <v>91</v>
      </c>
      <c r="B40" s="5"/>
      <c r="C40" s="5">
        <v>12</v>
      </c>
      <c r="D40" s="5">
        <v>6</v>
      </c>
      <c r="E40" s="5">
        <f t="shared" si="7"/>
        <v>18</v>
      </c>
      <c r="F40" s="5">
        <v>124</v>
      </c>
      <c r="G40" s="4">
        <f t="shared" si="3"/>
        <v>0.14516129032258066</v>
      </c>
    </row>
    <row r="41" spans="1:7" x14ac:dyDescent="0.25">
      <c r="A41" s="5" t="s">
        <v>93</v>
      </c>
      <c r="B41" s="5"/>
      <c r="C41" s="5">
        <v>1</v>
      </c>
      <c r="D41" s="5">
        <v>1</v>
      </c>
      <c r="E41" s="5">
        <f t="shared" si="7"/>
        <v>2</v>
      </c>
      <c r="F41" s="5">
        <v>49</v>
      </c>
      <c r="G41" s="4">
        <f t="shared" si="3"/>
        <v>4.0816326530612242E-2</v>
      </c>
    </row>
    <row r="42" spans="1:7" x14ac:dyDescent="0.25">
      <c r="A42" s="5" t="s">
        <v>94</v>
      </c>
      <c r="B42" s="5"/>
      <c r="C42" s="5">
        <v>24</v>
      </c>
      <c r="D42" s="5">
        <v>6</v>
      </c>
      <c r="E42" s="5">
        <f t="shared" si="7"/>
        <v>30</v>
      </c>
      <c r="F42" s="5">
        <v>120</v>
      </c>
      <c r="G42" s="4">
        <f t="shared" si="3"/>
        <v>0.25</v>
      </c>
    </row>
    <row r="43" spans="1:7" x14ac:dyDescent="0.25">
      <c r="A43" s="5" t="s">
        <v>96</v>
      </c>
      <c r="B43" s="5"/>
      <c r="C43" s="5">
        <v>2</v>
      </c>
      <c r="D43" s="5">
        <v>6</v>
      </c>
      <c r="E43" s="5">
        <f t="shared" si="7"/>
        <v>8</v>
      </c>
      <c r="F43" s="5">
        <v>117</v>
      </c>
      <c r="G43" s="4">
        <f t="shared" si="3"/>
        <v>6.8376068376068383E-2</v>
      </c>
    </row>
    <row r="44" spans="1:7" x14ac:dyDescent="0.25">
      <c r="A44" s="5" t="s">
        <v>97</v>
      </c>
      <c r="B44" s="5"/>
      <c r="C44" s="5">
        <v>11</v>
      </c>
      <c r="D44" s="5">
        <v>1</v>
      </c>
      <c r="E44" s="5">
        <f t="shared" si="7"/>
        <v>12</v>
      </c>
      <c r="F44" s="5">
        <v>63</v>
      </c>
      <c r="G44" s="4">
        <f t="shared" si="3"/>
        <v>0.19047619047619047</v>
      </c>
    </row>
    <row r="45" spans="1:7" x14ac:dyDescent="0.25">
      <c r="A45" s="5" t="s">
        <v>99</v>
      </c>
      <c r="B45" s="5"/>
      <c r="C45" s="5">
        <v>4</v>
      </c>
      <c r="D45" s="5">
        <v>3</v>
      </c>
      <c r="E45" s="5">
        <f t="shared" si="7"/>
        <v>7</v>
      </c>
      <c r="F45" s="5">
        <v>83</v>
      </c>
      <c r="G45" s="4">
        <f t="shared" si="3"/>
        <v>8.4337349397590355E-2</v>
      </c>
    </row>
    <row r="46" spans="1:7" x14ac:dyDescent="0.25">
      <c r="A46" s="2" t="s">
        <v>25</v>
      </c>
      <c r="B46" s="2"/>
      <c r="C46" s="2">
        <v>25</v>
      </c>
      <c r="D46" s="2">
        <f>SUM(D47:D50)</f>
        <v>29</v>
      </c>
      <c r="E46" s="2">
        <f>B46+C46+D46</f>
        <v>54</v>
      </c>
      <c r="F46" s="2">
        <f>180+129+94+204+190+195</f>
        <v>992</v>
      </c>
      <c r="G46" s="3">
        <f t="shared" si="3"/>
        <v>5.4435483870967742E-2</v>
      </c>
    </row>
    <row r="47" spans="1:7" x14ac:dyDescent="0.25">
      <c r="A47" s="5" t="s">
        <v>101</v>
      </c>
      <c r="B47" s="5"/>
      <c r="C47" s="5">
        <v>1</v>
      </c>
      <c r="D47" s="5">
        <v>10</v>
      </c>
      <c r="E47" s="5">
        <f t="shared" ref="E47:E50" si="8">B47+C47+D47</f>
        <v>11</v>
      </c>
      <c r="F47" s="5">
        <v>180</v>
      </c>
      <c r="G47" s="4">
        <f t="shared" si="3"/>
        <v>6.1111111111111109E-2</v>
      </c>
    </row>
    <row r="48" spans="1:7" x14ac:dyDescent="0.25">
      <c r="A48" s="5" t="s">
        <v>102</v>
      </c>
      <c r="B48" s="5"/>
      <c r="C48" s="5">
        <v>6</v>
      </c>
      <c r="D48" s="5">
        <v>6</v>
      </c>
      <c r="E48" s="5">
        <f t="shared" si="8"/>
        <v>12</v>
      </c>
      <c r="F48" s="5">
        <v>129</v>
      </c>
      <c r="G48" s="4">
        <f t="shared" si="3"/>
        <v>9.3023255813953487E-2</v>
      </c>
    </row>
    <row r="49" spans="1:7" x14ac:dyDescent="0.25">
      <c r="A49" s="5" t="s">
        <v>105</v>
      </c>
      <c r="B49" s="5"/>
      <c r="C49" s="5">
        <v>1</v>
      </c>
      <c r="D49" s="5">
        <v>1</v>
      </c>
      <c r="E49" s="5">
        <f t="shared" si="8"/>
        <v>2</v>
      </c>
      <c r="F49" s="5">
        <v>204</v>
      </c>
      <c r="G49" s="4">
        <f t="shared" si="3"/>
        <v>9.8039215686274508E-3</v>
      </c>
    </row>
    <row r="50" spans="1:7" x14ac:dyDescent="0.25">
      <c r="A50" s="5" t="s">
        <v>108</v>
      </c>
      <c r="B50" s="5"/>
      <c r="C50" s="5">
        <v>17</v>
      </c>
      <c r="D50" s="5">
        <v>12</v>
      </c>
      <c r="E50" s="5">
        <f t="shared" si="8"/>
        <v>29</v>
      </c>
      <c r="F50" s="5">
        <v>195</v>
      </c>
      <c r="G50" s="4">
        <f t="shared" si="3"/>
        <v>0.14871794871794872</v>
      </c>
    </row>
    <row r="51" spans="1:7" x14ac:dyDescent="0.25">
      <c r="A51" s="2" t="s">
        <v>62</v>
      </c>
      <c r="B51" s="2"/>
      <c r="C51" s="2">
        <v>15</v>
      </c>
      <c r="D51" s="2">
        <f>SUM(D52:D59)</f>
        <v>26</v>
      </c>
      <c r="E51" s="2">
        <f>B51+C51+D51</f>
        <v>41</v>
      </c>
      <c r="F51" s="2">
        <v>1557</v>
      </c>
      <c r="G51" s="3">
        <f t="shared" si="3"/>
        <v>2.6332691072575465E-2</v>
      </c>
    </row>
    <row r="52" spans="1:7" x14ac:dyDescent="0.25">
      <c r="A52" s="5" t="s">
        <v>109</v>
      </c>
      <c r="B52" s="5"/>
      <c r="C52" s="5">
        <v>1</v>
      </c>
      <c r="D52" s="5">
        <v>3</v>
      </c>
      <c r="E52" s="5">
        <f t="shared" ref="E52:E61" si="9">B52+C52+D52</f>
        <v>4</v>
      </c>
      <c r="F52" s="5">
        <v>146</v>
      </c>
      <c r="G52" s="4">
        <f t="shared" si="3"/>
        <v>2.7397260273972601E-2</v>
      </c>
    </row>
    <row r="53" spans="1:7" x14ac:dyDescent="0.25">
      <c r="A53" s="38" t="s">
        <v>111</v>
      </c>
      <c r="B53" s="5"/>
      <c r="C53" s="5"/>
      <c r="D53" s="5">
        <v>1</v>
      </c>
      <c r="E53" s="5">
        <f t="shared" si="9"/>
        <v>1</v>
      </c>
      <c r="F53" s="5">
        <v>122</v>
      </c>
      <c r="G53" s="4">
        <f t="shared" si="3"/>
        <v>8.1967213114754103E-3</v>
      </c>
    </row>
    <row r="54" spans="1:7" x14ac:dyDescent="0.25">
      <c r="A54" s="5" t="s">
        <v>112</v>
      </c>
      <c r="B54" s="5"/>
      <c r="C54" s="5">
        <v>1</v>
      </c>
      <c r="D54" s="5">
        <v>1</v>
      </c>
      <c r="E54" s="5">
        <f t="shared" si="9"/>
        <v>2</v>
      </c>
      <c r="F54" s="5">
        <v>79</v>
      </c>
      <c r="G54" s="4">
        <f t="shared" si="3"/>
        <v>2.5316455696202531E-2</v>
      </c>
    </row>
    <row r="55" spans="1:7" x14ac:dyDescent="0.25">
      <c r="A55" s="38" t="s">
        <v>113</v>
      </c>
      <c r="B55" s="5"/>
      <c r="C55" s="5"/>
      <c r="D55" s="5">
        <v>2</v>
      </c>
      <c r="E55" s="5">
        <f t="shared" si="9"/>
        <v>2</v>
      </c>
      <c r="F55" s="5">
        <v>74</v>
      </c>
      <c r="G55" s="4">
        <f t="shared" si="3"/>
        <v>2.7027027027027029E-2</v>
      </c>
    </row>
    <row r="56" spans="1:7" x14ac:dyDescent="0.25">
      <c r="A56" s="5" t="s">
        <v>115</v>
      </c>
      <c r="B56" s="5"/>
      <c r="C56" s="5">
        <v>12</v>
      </c>
      <c r="D56" s="5">
        <v>12</v>
      </c>
      <c r="E56" s="5">
        <f t="shared" si="9"/>
        <v>24</v>
      </c>
      <c r="F56" s="5">
        <v>138</v>
      </c>
      <c r="G56" s="4">
        <f t="shared" si="3"/>
        <v>0.17391304347826086</v>
      </c>
    </row>
    <row r="57" spans="1:7" x14ac:dyDescent="0.25">
      <c r="A57" s="5" t="s">
        <v>116</v>
      </c>
      <c r="B57" s="5"/>
      <c r="C57" s="5">
        <v>1</v>
      </c>
      <c r="D57" s="5">
        <v>1</v>
      </c>
      <c r="E57" s="5">
        <f t="shared" si="9"/>
        <v>2</v>
      </c>
      <c r="F57" s="5">
        <v>75</v>
      </c>
      <c r="G57" s="4">
        <f t="shared" si="3"/>
        <v>2.6666666666666668E-2</v>
      </c>
    </row>
    <row r="58" spans="1:7" x14ac:dyDescent="0.25">
      <c r="A58" s="5" t="s">
        <v>117</v>
      </c>
      <c r="B58" s="5"/>
      <c r="C58" s="5"/>
      <c r="D58" s="5">
        <v>5</v>
      </c>
      <c r="E58" s="5">
        <f t="shared" si="9"/>
        <v>5</v>
      </c>
      <c r="F58" s="5">
        <v>107</v>
      </c>
      <c r="G58" s="4">
        <f t="shared" si="3"/>
        <v>4.6728971962616821E-2</v>
      </c>
    </row>
    <row r="59" spans="1:7" x14ac:dyDescent="0.25">
      <c r="A59" s="5" t="s">
        <v>120</v>
      </c>
      <c r="B59" s="5"/>
      <c r="C59" s="5"/>
      <c r="D59" s="5">
        <v>1</v>
      </c>
      <c r="E59" s="5">
        <f t="shared" si="9"/>
        <v>1</v>
      </c>
      <c r="F59" s="5">
        <v>33</v>
      </c>
      <c r="G59" s="4">
        <f t="shared" si="3"/>
        <v>3.0303030303030304E-2</v>
      </c>
    </row>
    <row r="60" spans="1:7" x14ac:dyDescent="0.25">
      <c r="A60" s="2" t="s">
        <v>29</v>
      </c>
      <c r="B60" s="2"/>
      <c r="C60" s="2">
        <v>4</v>
      </c>
      <c r="D60" s="2">
        <v>4</v>
      </c>
      <c r="E60" s="2">
        <f>B60+C60+D60</f>
        <v>8</v>
      </c>
      <c r="F60" s="2">
        <f>103+139+89+91+161+141+69+142+148</f>
        <v>1083</v>
      </c>
      <c r="G60" s="3">
        <f t="shared" si="3"/>
        <v>7.3868882733148658E-3</v>
      </c>
    </row>
    <row r="61" spans="1:7" x14ac:dyDescent="0.25">
      <c r="A61" s="49" t="s">
        <v>127</v>
      </c>
      <c r="B61" s="49"/>
      <c r="C61" s="49"/>
      <c r="D61" s="49">
        <v>2</v>
      </c>
      <c r="E61" s="5">
        <f t="shared" si="9"/>
        <v>2</v>
      </c>
      <c r="F61" s="49">
        <v>91</v>
      </c>
      <c r="G61" s="4">
        <f t="shared" si="3"/>
        <v>2.197802197802198E-2</v>
      </c>
    </row>
    <row r="62" spans="1:7" x14ac:dyDescent="0.25">
      <c r="A62" s="5" t="s">
        <v>131</v>
      </c>
      <c r="B62" s="5"/>
      <c r="C62" s="5">
        <v>2</v>
      </c>
      <c r="D62" s="5">
        <v>1</v>
      </c>
      <c r="E62" s="5">
        <f t="shared" ref="E62:E63" si="10">B62+C62+D62</f>
        <v>3</v>
      </c>
      <c r="F62" s="5">
        <v>142</v>
      </c>
      <c r="G62" s="4">
        <f t="shared" si="3"/>
        <v>2.1126760563380281E-2</v>
      </c>
    </row>
    <row r="63" spans="1:7" x14ac:dyDescent="0.25">
      <c r="A63" s="5" t="s">
        <v>132</v>
      </c>
      <c r="B63" s="5"/>
      <c r="C63" s="5">
        <v>2</v>
      </c>
      <c r="D63" s="5">
        <v>1</v>
      </c>
      <c r="E63" s="5">
        <f t="shared" si="10"/>
        <v>3</v>
      </c>
      <c r="F63" s="5">
        <v>148</v>
      </c>
      <c r="G63" s="4">
        <f t="shared" si="3"/>
        <v>2.0270270270270271E-2</v>
      </c>
    </row>
    <row r="64" spans="1:7" x14ac:dyDescent="0.25">
      <c r="A64" s="60"/>
      <c r="B64" s="61"/>
      <c r="C64" s="61"/>
      <c r="D64" s="61"/>
      <c r="E64" s="61"/>
      <c r="F64" s="61"/>
      <c r="G64" s="62"/>
    </row>
    <row r="65" spans="1:7" ht="18.75" x14ac:dyDescent="0.3">
      <c r="A65" s="45" t="s">
        <v>147</v>
      </c>
      <c r="B65" s="45" t="s">
        <v>158</v>
      </c>
      <c r="C65" s="45" t="s">
        <v>162</v>
      </c>
      <c r="D65" s="45" t="s">
        <v>163</v>
      </c>
      <c r="E65" s="46" t="s">
        <v>159</v>
      </c>
      <c r="F65" s="45" t="s">
        <v>154</v>
      </c>
      <c r="G65" s="47" t="s">
        <v>153</v>
      </c>
    </row>
    <row r="66" spans="1:7" ht="15.75" x14ac:dyDescent="0.25">
      <c r="A66" s="12" t="s">
        <v>161</v>
      </c>
      <c r="B66" s="12"/>
      <c r="C66" s="12"/>
      <c r="D66" s="12">
        <f>D67+D69+D71+D75+D77+D87+D93+D97</f>
        <v>24</v>
      </c>
      <c r="E66" s="12">
        <f>E67+E69+E71+E75+E77+E87+E93+E97</f>
        <v>24</v>
      </c>
      <c r="F66" s="12">
        <f>F67+F69+F71+F77+F87+F93+F97+50</f>
        <v>563</v>
      </c>
      <c r="G66" s="13">
        <f t="shared" ref="G66:G100" si="11">E66/F66</f>
        <v>4.2628774422735348E-2</v>
      </c>
    </row>
    <row r="67" spans="1:7" x14ac:dyDescent="0.25">
      <c r="A67" s="2" t="s">
        <v>9</v>
      </c>
      <c r="B67" s="2"/>
      <c r="C67" s="2"/>
      <c r="D67" s="2">
        <v>2</v>
      </c>
      <c r="E67" s="2">
        <f>B67+C67+D67</f>
        <v>2</v>
      </c>
      <c r="F67" s="5">
        <f>40+16+52</f>
        <v>108</v>
      </c>
      <c r="G67" s="4">
        <f t="shared" si="11"/>
        <v>1.8518518518518517E-2</v>
      </c>
    </row>
    <row r="68" spans="1:7" x14ac:dyDescent="0.25">
      <c r="A68" s="5" t="s">
        <v>11</v>
      </c>
      <c r="B68" s="5"/>
      <c r="C68" s="5"/>
      <c r="D68" s="5">
        <v>2</v>
      </c>
      <c r="E68" s="5">
        <f t="shared" ref="E68" si="12">B68+C68+D68</f>
        <v>2</v>
      </c>
      <c r="F68" s="5">
        <v>40</v>
      </c>
      <c r="G68" s="4">
        <f t="shared" si="11"/>
        <v>0.05</v>
      </c>
    </row>
    <row r="69" spans="1:7" x14ac:dyDescent="0.25">
      <c r="A69" s="2" t="s">
        <v>17</v>
      </c>
      <c r="B69" s="2"/>
      <c r="C69" s="2"/>
      <c r="D69" s="2">
        <v>4</v>
      </c>
      <c r="E69" s="2">
        <f t="shared" ref="E69:E75" si="13">B69+C69+D69</f>
        <v>4</v>
      </c>
      <c r="F69" s="2">
        <v>100</v>
      </c>
      <c r="G69" s="3">
        <f t="shared" si="11"/>
        <v>0.04</v>
      </c>
    </row>
    <row r="70" spans="1:7" x14ac:dyDescent="0.25">
      <c r="A70" s="5" t="s">
        <v>19</v>
      </c>
      <c r="B70" s="5"/>
      <c r="C70" s="5"/>
      <c r="D70" s="5">
        <v>4</v>
      </c>
      <c r="E70" s="5">
        <f t="shared" si="13"/>
        <v>4</v>
      </c>
      <c r="F70" s="5">
        <v>100</v>
      </c>
      <c r="G70" s="4">
        <f t="shared" si="11"/>
        <v>0.04</v>
      </c>
    </row>
    <row r="71" spans="1:7" x14ac:dyDescent="0.25">
      <c r="A71" s="2" t="s">
        <v>18</v>
      </c>
      <c r="B71" s="2"/>
      <c r="C71" s="2"/>
      <c r="D71" s="2">
        <f>SUM(D72:D74)</f>
        <v>9</v>
      </c>
      <c r="E71" s="2">
        <f t="shared" si="13"/>
        <v>9</v>
      </c>
      <c r="F71" s="2">
        <f>19+35+23</f>
        <v>77</v>
      </c>
      <c r="G71" s="3">
        <f t="shared" si="11"/>
        <v>0.11688311688311688</v>
      </c>
    </row>
    <row r="72" spans="1:7" x14ac:dyDescent="0.25">
      <c r="A72" s="5" t="s">
        <v>22</v>
      </c>
      <c r="B72" s="5"/>
      <c r="C72" s="5"/>
      <c r="D72" s="5">
        <v>7</v>
      </c>
      <c r="E72" s="5">
        <f t="shared" si="13"/>
        <v>7</v>
      </c>
      <c r="F72" s="5">
        <v>35</v>
      </c>
      <c r="G72" s="4">
        <f t="shared" si="11"/>
        <v>0.2</v>
      </c>
    </row>
    <row r="73" spans="1:7" x14ac:dyDescent="0.25">
      <c r="A73" s="5" t="s">
        <v>24</v>
      </c>
      <c r="B73" s="5"/>
      <c r="C73" s="5"/>
      <c r="D73" s="5"/>
      <c r="E73" s="5">
        <f t="shared" si="13"/>
        <v>0</v>
      </c>
      <c r="F73" s="5">
        <v>35</v>
      </c>
      <c r="G73" s="4">
        <f t="shared" si="11"/>
        <v>0</v>
      </c>
    </row>
    <row r="74" spans="1:7" x14ac:dyDescent="0.25">
      <c r="A74" s="5" t="s">
        <v>26</v>
      </c>
      <c r="B74" s="5"/>
      <c r="C74" s="5"/>
      <c r="D74" s="5">
        <v>2</v>
      </c>
      <c r="E74" s="5">
        <f t="shared" si="13"/>
        <v>2</v>
      </c>
      <c r="F74" s="5">
        <v>23</v>
      </c>
      <c r="G74" s="4">
        <f t="shared" si="11"/>
        <v>8.6956521739130432E-2</v>
      </c>
    </row>
    <row r="75" spans="1:7" x14ac:dyDescent="0.25">
      <c r="A75" s="2" t="s">
        <v>28</v>
      </c>
      <c r="B75" s="2"/>
      <c r="C75" s="2"/>
      <c r="D75" s="2"/>
      <c r="E75" s="2">
        <f t="shared" si="13"/>
        <v>0</v>
      </c>
      <c r="F75" s="2">
        <v>20</v>
      </c>
      <c r="G75" s="3">
        <f t="shared" si="11"/>
        <v>0</v>
      </c>
    </row>
    <row r="76" spans="1:7" x14ac:dyDescent="0.25">
      <c r="A76" s="5" t="s">
        <v>30</v>
      </c>
      <c r="B76" s="5"/>
      <c r="C76" s="5"/>
      <c r="D76" s="5">
        <v>1</v>
      </c>
      <c r="E76" s="5">
        <f t="shared" ref="E76" si="14">B76+C76</f>
        <v>0</v>
      </c>
      <c r="F76" s="5">
        <v>20</v>
      </c>
      <c r="G76" s="4">
        <f t="shared" si="11"/>
        <v>0</v>
      </c>
    </row>
    <row r="77" spans="1:7" x14ac:dyDescent="0.25">
      <c r="A77" s="2" t="s">
        <v>32</v>
      </c>
      <c r="B77" s="2"/>
      <c r="C77" s="2"/>
      <c r="D77" s="2">
        <f>SUM(D78:D86)</f>
        <v>8</v>
      </c>
      <c r="E77" s="2">
        <f>B77+C77+D77</f>
        <v>8</v>
      </c>
      <c r="F77" s="2">
        <f>16+35+4+20+9+10+10+10+11+16</f>
        <v>141</v>
      </c>
      <c r="G77" s="3">
        <f t="shared" si="11"/>
        <v>5.6737588652482268E-2</v>
      </c>
    </row>
    <row r="78" spans="1:7" x14ac:dyDescent="0.25">
      <c r="A78" s="5" t="s">
        <v>34</v>
      </c>
      <c r="B78" s="5"/>
      <c r="C78" s="5"/>
      <c r="D78" s="5"/>
      <c r="E78" s="5">
        <f t="shared" ref="E78:E86" si="15">B78+C78+D78</f>
        <v>0</v>
      </c>
      <c r="F78" s="5">
        <v>16</v>
      </c>
      <c r="G78" s="4">
        <f t="shared" si="11"/>
        <v>0</v>
      </c>
    </row>
    <row r="79" spans="1:7" x14ac:dyDescent="0.25">
      <c r="A79" s="5" t="s">
        <v>35</v>
      </c>
      <c r="B79" s="5"/>
      <c r="C79" s="5"/>
      <c r="D79" s="5">
        <v>4</v>
      </c>
      <c r="E79" s="5">
        <f t="shared" si="15"/>
        <v>4</v>
      </c>
      <c r="F79" s="5">
        <v>35</v>
      </c>
      <c r="G79" s="4">
        <f t="shared" si="11"/>
        <v>0.11428571428571428</v>
      </c>
    </row>
    <row r="80" spans="1:7" x14ac:dyDescent="0.25">
      <c r="A80" s="5" t="s">
        <v>40</v>
      </c>
      <c r="B80" s="5"/>
      <c r="C80" s="5"/>
      <c r="D80" s="5">
        <v>1</v>
      </c>
      <c r="E80" s="5">
        <f t="shared" si="15"/>
        <v>1</v>
      </c>
      <c r="F80" s="5">
        <v>9</v>
      </c>
      <c r="G80" s="4">
        <f t="shared" si="11"/>
        <v>0.1111111111111111</v>
      </c>
    </row>
    <row r="81" spans="1:7" x14ac:dyDescent="0.25">
      <c r="A81" s="5" t="s">
        <v>41</v>
      </c>
      <c r="B81" s="5"/>
      <c r="C81" s="5"/>
      <c r="D81" s="5">
        <v>0</v>
      </c>
      <c r="E81" s="5">
        <f t="shared" si="15"/>
        <v>0</v>
      </c>
      <c r="F81" s="5">
        <v>20</v>
      </c>
      <c r="G81" s="4">
        <f t="shared" si="11"/>
        <v>0</v>
      </c>
    </row>
    <row r="82" spans="1:7" x14ac:dyDescent="0.25">
      <c r="A82" s="5" t="s">
        <v>43</v>
      </c>
      <c r="B82" s="5"/>
      <c r="C82" s="5"/>
      <c r="D82" s="5">
        <v>0</v>
      </c>
      <c r="E82" s="5">
        <f t="shared" si="15"/>
        <v>0</v>
      </c>
      <c r="F82" s="5">
        <v>10</v>
      </c>
      <c r="G82" s="4">
        <f t="shared" si="11"/>
        <v>0</v>
      </c>
    </row>
    <row r="83" spans="1:7" x14ac:dyDescent="0.25">
      <c r="A83" s="5" t="s">
        <v>45</v>
      </c>
      <c r="B83" s="5"/>
      <c r="C83" s="5"/>
      <c r="D83" s="5">
        <v>1</v>
      </c>
      <c r="E83" s="5">
        <f t="shared" si="15"/>
        <v>1</v>
      </c>
      <c r="F83" s="5">
        <v>10</v>
      </c>
      <c r="G83" s="4">
        <f t="shared" si="11"/>
        <v>0.1</v>
      </c>
    </row>
    <row r="84" spans="1:7" x14ac:dyDescent="0.25">
      <c r="A84" s="5" t="s">
        <v>47</v>
      </c>
      <c r="B84" s="5"/>
      <c r="C84" s="5"/>
      <c r="D84" s="5">
        <v>0</v>
      </c>
      <c r="E84" s="5">
        <f t="shared" si="15"/>
        <v>0</v>
      </c>
      <c r="F84" s="5">
        <v>10</v>
      </c>
      <c r="G84" s="4">
        <f t="shared" si="11"/>
        <v>0</v>
      </c>
    </row>
    <row r="85" spans="1:7" ht="14.25" customHeight="1" x14ac:dyDescent="0.25">
      <c r="A85" s="5" t="s">
        <v>48</v>
      </c>
      <c r="B85" s="5"/>
      <c r="C85" s="5"/>
      <c r="D85" s="5">
        <v>0</v>
      </c>
      <c r="E85" s="5">
        <f t="shared" si="15"/>
        <v>0</v>
      </c>
      <c r="F85" s="5">
        <v>11</v>
      </c>
      <c r="G85" s="4">
        <f t="shared" si="11"/>
        <v>0</v>
      </c>
    </row>
    <row r="86" spans="1:7" x14ac:dyDescent="0.25">
      <c r="A86" s="5" t="s">
        <v>50</v>
      </c>
      <c r="B86" s="5"/>
      <c r="C86" s="5"/>
      <c r="D86" s="5">
        <v>2</v>
      </c>
      <c r="E86" s="5">
        <f t="shared" si="15"/>
        <v>2</v>
      </c>
      <c r="F86" s="5">
        <v>16</v>
      </c>
      <c r="G86" s="4">
        <f t="shared" si="11"/>
        <v>0.125</v>
      </c>
    </row>
    <row r="87" spans="1:7" x14ac:dyDescent="0.25">
      <c r="A87" s="2" t="s">
        <v>25</v>
      </c>
      <c r="B87" s="2"/>
      <c r="C87" s="2"/>
      <c r="D87" s="2">
        <v>1</v>
      </c>
      <c r="E87" s="2">
        <f>B87+C87+D87</f>
        <v>1</v>
      </c>
      <c r="F87" s="2">
        <f>10+3+10+7+8</f>
        <v>38</v>
      </c>
      <c r="G87" s="3">
        <f t="shared" si="11"/>
        <v>2.6315789473684209E-2</v>
      </c>
    </row>
    <row r="88" spans="1:7" x14ac:dyDescent="0.25">
      <c r="A88" s="5" t="s">
        <v>52</v>
      </c>
      <c r="B88" s="5"/>
      <c r="C88" s="5"/>
      <c r="D88" s="5">
        <v>1</v>
      </c>
      <c r="E88" s="5">
        <f t="shared" ref="E88:E89" si="16">B88+C88+D88</f>
        <v>1</v>
      </c>
      <c r="F88" s="5">
        <v>10</v>
      </c>
      <c r="G88" s="4">
        <f t="shared" si="11"/>
        <v>0.1</v>
      </c>
    </row>
    <row r="89" spans="1:7" x14ac:dyDescent="0.25">
      <c r="A89" s="5" t="s">
        <v>58</v>
      </c>
      <c r="B89" s="5"/>
      <c r="C89" s="5"/>
      <c r="D89" s="5"/>
      <c r="E89" s="5">
        <f t="shared" si="16"/>
        <v>0</v>
      </c>
      <c r="F89" s="5">
        <v>7</v>
      </c>
      <c r="G89" s="4">
        <f t="shared" si="11"/>
        <v>0</v>
      </c>
    </row>
    <row r="90" spans="1:7" x14ac:dyDescent="0.25">
      <c r="A90" s="2" t="s">
        <v>62</v>
      </c>
      <c r="B90" s="5"/>
      <c r="C90" s="5"/>
      <c r="D90" s="2">
        <f>SUM(D91:D92)</f>
        <v>2</v>
      </c>
      <c r="E90" s="2">
        <f t="shared" ref="E90" si="17">SUM(E91:E92)</f>
        <v>3</v>
      </c>
      <c r="F90" s="2">
        <f>18+12+4+3+13</f>
        <v>50</v>
      </c>
      <c r="G90" s="3">
        <f t="shared" si="11"/>
        <v>0.06</v>
      </c>
    </row>
    <row r="91" spans="1:7" x14ac:dyDescent="0.25">
      <c r="A91" s="5" t="s">
        <v>65</v>
      </c>
      <c r="B91" s="5"/>
      <c r="C91" s="5"/>
      <c r="D91" s="5">
        <v>0</v>
      </c>
      <c r="E91" s="5">
        <v>0</v>
      </c>
      <c r="F91" s="5">
        <v>12</v>
      </c>
      <c r="G91" s="4">
        <f t="shared" si="11"/>
        <v>0</v>
      </c>
    </row>
    <row r="92" spans="1:7" x14ac:dyDescent="0.25">
      <c r="A92" s="5" t="s">
        <v>70</v>
      </c>
      <c r="B92" s="5"/>
      <c r="C92" s="5"/>
      <c r="D92" s="5">
        <v>2</v>
      </c>
      <c r="E92" s="5">
        <v>3</v>
      </c>
      <c r="F92" s="5">
        <v>13</v>
      </c>
      <c r="G92" s="4">
        <f t="shared" si="11"/>
        <v>0.23076923076923078</v>
      </c>
    </row>
    <row r="93" spans="1:7" x14ac:dyDescent="0.25">
      <c r="A93" s="2" t="s">
        <v>29</v>
      </c>
      <c r="B93" s="2"/>
      <c r="C93" s="2"/>
      <c r="D93" s="2">
        <f>SUM(D94:D96)</f>
        <v>0</v>
      </c>
      <c r="E93" s="2">
        <f>B93+C93+D93</f>
        <v>0</v>
      </c>
      <c r="F93" s="2">
        <f>5+3+18</f>
        <v>26</v>
      </c>
      <c r="G93" s="3">
        <f t="shared" si="11"/>
        <v>0</v>
      </c>
    </row>
    <row r="94" spans="1:7" x14ac:dyDescent="0.25">
      <c r="A94" s="5" t="s">
        <v>75</v>
      </c>
      <c r="B94" s="5"/>
      <c r="C94" s="5"/>
      <c r="D94" s="5"/>
      <c r="E94" s="5">
        <f t="shared" ref="E94:E96" si="18">B94+C94+D94</f>
        <v>0</v>
      </c>
      <c r="F94" s="5">
        <v>3</v>
      </c>
      <c r="G94" s="4">
        <f t="shared" si="11"/>
        <v>0</v>
      </c>
    </row>
    <row r="95" spans="1:7" x14ac:dyDescent="0.25">
      <c r="A95" s="5" t="s">
        <v>73</v>
      </c>
      <c r="B95" s="5"/>
      <c r="C95" s="5"/>
      <c r="D95" s="5">
        <v>0</v>
      </c>
      <c r="E95" s="5">
        <v>0</v>
      </c>
      <c r="F95" s="5">
        <v>5</v>
      </c>
      <c r="G95" s="4">
        <f t="shared" si="11"/>
        <v>0</v>
      </c>
    </row>
    <row r="96" spans="1:7" x14ac:dyDescent="0.25">
      <c r="A96" s="5" t="s">
        <v>77</v>
      </c>
      <c r="B96" s="5"/>
      <c r="C96" s="5"/>
      <c r="D96" s="5"/>
      <c r="E96" s="5">
        <f t="shared" si="18"/>
        <v>0</v>
      </c>
      <c r="F96" s="5">
        <v>18</v>
      </c>
      <c r="G96" s="4">
        <f t="shared" si="11"/>
        <v>0</v>
      </c>
    </row>
    <row r="97" spans="1:7" x14ac:dyDescent="0.25">
      <c r="A97" s="2" t="s">
        <v>79</v>
      </c>
      <c r="B97" s="2"/>
      <c r="C97" s="2"/>
      <c r="D97" s="2">
        <f>SUM(D98:D100)</f>
        <v>0</v>
      </c>
      <c r="E97" s="2">
        <f>B97+C97+D97</f>
        <v>0</v>
      </c>
      <c r="F97" s="2">
        <v>23</v>
      </c>
      <c r="G97" s="3">
        <f t="shared" si="11"/>
        <v>0</v>
      </c>
    </row>
    <row r="98" spans="1:7" x14ac:dyDescent="0.25">
      <c r="A98" s="5" t="s">
        <v>85</v>
      </c>
      <c r="B98" s="5"/>
      <c r="C98" s="5"/>
      <c r="D98" s="5"/>
      <c r="E98" s="5">
        <f>B98+C98+D98</f>
        <v>0</v>
      </c>
      <c r="F98" s="5">
        <v>4</v>
      </c>
      <c r="G98" s="4">
        <f t="shared" si="11"/>
        <v>0</v>
      </c>
    </row>
    <row r="99" spans="1:7" x14ac:dyDescent="0.25">
      <c r="A99" s="5" t="s">
        <v>81</v>
      </c>
      <c r="B99" s="5"/>
      <c r="C99" s="5"/>
      <c r="D99" s="5"/>
      <c r="E99" s="5"/>
      <c r="F99" s="5">
        <v>6</v>
      </c>
      <c r="G99" s="4">
        <f t="shared" si="11"/>
        <v>0</v>
      </c>
    </row>
    <row r="100" spans="1:7" x14ac:dyDescent="0.25">
      <c r="A100" s="5" t="s">
        <v>164</v>
      </c>
      <c r="B100" s="5"/>
      <c r="C100" s="5"/>
      <c r="D100" s="5"/>
      <c r="E100" s="5"/>
      <c r="F100" s="5">
        <v>12</v>
      </c>
      <c r="G100" s="4">
        <f t="shared" si="11"/>
        <v>0</v>
      </c>
    </row>
    <row r="101" spans="1:7" x14ac:dyDescent="0.25">
      <c r="A101" s="63"/>
      <c r="B101" s="64"/>
      <c r="C101" s="64"/>
      <c r="D101" s="64"/>
      <c r="E101" s="64"/>
      <c r="F101" s="64"/>
      <c r="G101" s="65"/>
    </row>
    <row r="102" spans="1:7" x14ac:dyDescent="0.25">
      <c r="A102" s="50" t="s">
        <v>147</v>
      </c>
      <c r="B102" s="50" t="s">
        <v>158</v>
      </c>
      <c r="C102" s="50" t="s">
        <v>162</v>
      </c>
      <c r="D102" s="50" t="s">
        <v>163</v>
      </c>
      <c r="E102" s="50" t="s">
        <v>159</v>
      </c>
      <c r="F102" s="50" t="s">
        <v>6</v>
      </c>
      <c r="G102" s="51" t="s">
        <v>153</v>
      </c>
    </row>
    <row r="103" spans="1:7" x14ac:dyDescent="0.25">
      <c r="A103" s="2" t="s">
        <v>146</v>
      </c>
      <c r="B103" s="2"/>
      <c r="C103" s="2"/>
      <c r="D103" s="2">
        <f>SUM(D104:D108)</f>
        <v>1</v>
      </c>
      <c r="E103" s="2">
        <f t="shared" ref="E103:E110" si="19">B103+C103+D103</f>
        <v>1</v>
      </c>
      <c r="F103" s="2">
        <v>98</v>
      </c>
      <c r="G103" s="3">
        <f>E103/F103</f>
        <v>1.020408163265306E-2</v>
      </c>
    </row>
    <row r="104" spans="1:7" x14ac:dyDescent="0.25">
      <c r="A104" s="5" t="s">
        <v>148</v>
      </c>
      <c r="B104" s="5"/>
      <c r="C104" s="5"/>
      <c r="D104" s="5">
        <v>1</v>
      </c>
      <c r="E104" s="5">
        <v>1</v>
      </c>
      <c r="F104" s="5">
        <f>11+21</f>
        <v>32</v>
      </c>
      <c r="G104" s="4">
        <f t="shared" ref="G104:G110" si="20">E104/F104</f>
        <v>3.125E-2</v>
      </c>
    </row>
    <row r="105" spans="1:7" x14ac:dyDescent="0.25">
      <c r="A105" s="5" t="s">
        <v>151</v>
      </c>
      <c r="B105" s="5"/>
      <c r="C105" s="5"/>
      <c r="D105" s="5"/>
      <c r="E105" s="5">
        <f t="shared" si="19"/>
        <v>0</v>
      </c>
      <c r="F105" s="5">
        <v>19</v>
      </c>
      <c r="G105" s="4">
        <f t="shared" si="20"/>
        <v>0</v>
      </c>
    </row>
    <row r="106" spans="1:7" x14ac:dyDescent="0.25">
      <c r="A106" s="5" t="s">
        <v>149</v>
      </c>
      <c r="B106" s="5"/>
      <c r="C106" s="5"/>
      <c r="D106" s="5"/>
      <c r="E106" s="5"/>
      <c r="F106" s="5">
        <v>6</v>
      </c>
      <c r="G106" s="4">
        <f t="shared" si="20"/>
        <v>0</v>
      </c>
    </row>
    <row r="107" spans="1:7" x14ac:dyDescent="0.25">
      <c r="A107" s="5" t="s">
        <v>165</v>
      </c>
      <c r="B107" s="5"/>
      <c r="C107" s="5"/>
      <c r="D107" s="5"/>
      <c r="E107" s="5"/>
      <c r="F107" s="5">
        <v>10</v>
      </c>
      <c r="G107" s="4">
        <f t="shared" si="20"/>
        <v>0</v>
      </c>
    </row>
    <row r="108" spans="1:7" x14ac:dyDescent="0.25">
      <c r="A108" s="5" t="s">
        <v>166</v>
      </c>
      <c r="B108" s="5"/>
      <c r="C108" s="5"/>
      <c r="D108" s="5"/>
      <c r="E108" s="5"/>
      <c r="F108" s="5">
        <v>5</v>
      </c>
      <c r="G108" s="4">
        <f t="shared" si="20"/>
        <v>0</v>
      </c>
    </row>
    <row r="109" spans="1:7" x14ac:dyDescent="0.25">
      <c r="A109" s="5" t="s">
        <v>150</v>
      </c>
      <c r="B109" s="5"/>
      <c r="C109" s="5"/>
      <c r="D109" s="5"/>
      <c r="E109" s="5">
        <f t="shared" si="19"/>
        <v>0</v>
      </c>
      <c r="F109" s="5">
        <v>16</v>
      </c>
      <c r="G109" s="4">
        <f t="shared" si="20"/>
        <v>0</v>
      </c>
    </row>
    <row r="110" spans="1:7" x14ac:dyDescent="0.25">
      <c r="A110" s="5" t="s">
        <v>152</v>
      </c>
      <c r="B110" s="5"/>
      <c r="C110" s="5"/>
      <c r="D110" s="5"/>
      <c r="E110" s="5">
        <f t="shared" si="19"/>
        <v>0</v>
      </c>
      <c r="F110" s="5">
        <v>10</v>
      </c>
      <c r="G110" s="4">
        <f t="shared" si="20"/>
        <v>0</v>
      </c>
    </row>
    <row r="111" spans="1:7" x14ac:dyDescent="0.25">
      <c r="A111" s="41" t="s">
        <v>160</v>
      </c>
      <c r="B111">
        <f>B103+B66+B13</f>
        <v>16</v>
      </c>
      <c r="C111">
        <f>C103+C66+C13</f>
        <v>703</v>
      </c>
      <c r="D111">
        <f>D103+D66+D13+D4</f>
        <v>351</v>
      </c>
      <c r="E111">
        <f>E103+E66+E13</f>
        <v>1069</v>
      </c>
      <c r="G111" s="1">
        <f>AVERAGE(G66,G13)</f>
        <v>7.8695941569947428E-2</v>
      </c>
    </row>
  </sheetData>
  <mergeCells count="4">
    <mergeCell ref="A1:G1"/>
    <mergeCell ref="A64:G64"/>
    <mergeCell ref="A101:G101"/>
    <mergeCell ref="A11:G11"/>
  </mergeCells>
  <pageMargins left="0.7" right="0.7" top="0.75" bottom="0.75" header="0.3" footer="0.3"/>
  <pageSetup paperSize="9" scale="77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workbookViewId="0">
      <selection activeCell="A63" sqref="A63"/>
    </sheetView>
  </sheetViews>
  <sheetFormatPr defaultRowHeight="15" x14ac:dyDescent="0.25"/>
  <cols>
    <col min="1" max="1" width="41" customWidth="1"/>
    <col min="2" max="3" width="0" hidden="1" customWidth="1"/>
    <col min="4" max="4" width="13.5703125" customWidth="1"/>
    <col min="6" max="6" width="10.85546875" bestFit="1" customWidth="1"/>
    <col min="8" max="8" width="46.7109375" bestFit="1" customWidth="1"/>
    <col min="10" max="10" width="47.28515625" bestFit="1" customWidth="1"/>
  </cols>
  <sheetData>
    <row r="1" spans="1:7" x14ac:dyDescent="0.25">
      <c r="A1" s="67" t="s">
        <v>145</v>
      </c>
      <c r="B1" s="67"/>
      <c r="C1" s="67"/>
      <c r="D1" s="67"/>
      <c r="E1" s="67"/>
      <c r="F1" s="67"/>
      <c r="G1" s="67"/>
    </row>
    <row r="2" spans="1:7" ht="30" x14ac:dyDescent="0.25">
      <c r="A2" s="25" t="s">
        <v>36</v>
      </c>
      <c r="B2" s="25" t="s">
        <v>1</v>
      </c>
      <c r="C2" s="25" t="s">
        <v>2</v>
      </c>
      <c r="D2" s="26" t="s">
        <v>144</v>
      </c>
      <c r="E2" s="25" t="s">
        <v>37</v>
      </c>
      <c r="F2" s="27" t="s">
        <v>4</v>
      </c>
      <c r="G2" s="25" t="s">
        <v>5</v>
      </c>
    </row>
    <row r="3" spans="1:7" x14ac:dyDescent="0.25">
      <c r="A3" s="2" t="s">
        <v>39</v>
      </c>
      <c r="B3" s="2"/>
      <c r="C3" s="2"/>
      <c r="D3" s="2"/>
      <c r="E3" s="2"/>
      <c r="F3" s="4"/>
      <c r="G3" s="2"/>
    </row>
    <row r="4" spans="1:7" x14ac:dyDescent="0.25">
      <c r="A4" s="2" t="s">
        <v>9</v>
      </c>
      <c r="B4" s="5"/>
      <c r="C4" s="5"/>
      <c r="D4" s="2">
        <f>SUM(D5:D7)</f>
        <v>224</v>
      </c>
      <c r="E4" s="2">
        <f>SUM(E5:E7)</f>
        <v>417</v>
      </c>
      <c r="F4" s="3">
        <f t="shared" ref="F4:F10" si="0">D4/E4</f>
        <v>0.53717026378896882</v>
      </c>
      <c r="G4" s="5"/>
    </row>
    <row r="5" spans="1:7" hidden="1" x14ac:dyDescent="0.25">
      <c r="A5" s="5" t="s">
        <v>42</v>
      </c>
      <c r="B5" s="5">
        <v>58</v>
      </c>
      <c r="C5" s="5">
        <v>9</v>
      </c>
      <c r="D5" s="5">
        <v>72</v>
      </c>
      <c r="E5" s="5">
        <v>140</v>
      </c>
      <c r="F5" s="4">
        <f t="shared" si="0"/>
        <v>0.51428571428571423</v>
      </c>
      <c r="G5" s="5"/>
    </row>
    <row r="6" spans="1:7" hidden="1" x14ac:dyDescent="0.25">
      <c r="A6" s="5" t="s">
        <v>44</v>
      </c>
      <c r="B6" s="5">
        <v>43</v>
      </c>
      <c r="C6" s="5">
        <v>10</v>
      </c>
      <c r="D6" s="5">
        <v>62</v>
      </c>
      <c r="E6" s="5">
        <v>127</v>
      </c>
      <c r="F6" s="4">
        <f t="shared" si="0"/>
        <v>0.48818897637795278</v>
      </c>
      <c r="G6" s="5"/>
    </row>
    <row r="7" spans="1:7" hidden="1" x14ac:dyDescent="0.25">
      <c r="A7" s="5" t="s">
        <v>46</v>
      </c>
      <c r="B7" s="5">
        <v>66</v>
      </c>
      <c r="C7" s="5">
        <v>23</v>
      </c>
      <c r="D7" s="5">
        <v>90</v>
      </c>
      <c r="E7" s="5">
        <v>150</v>
      </c>
      <c r="F7" s="4">
        <f t="shared" si="0"/>
        <v>0.6</v>
      </c>
      <c r="G7" s="5"/>
    </row>
    <row r="8" spans="1:7" x14ac:dyDescent="0.25">
      <c r="A8" s="2" t="s">
        <v>17</v>
      </c>
      <c r="B8" s="5"/>
      <c r="C8" s="5"/>
      <c r="D8" s="2">
        <v>518</v>
      </c>
      <c r="E8" s="2">
        <v>779</v>
      </c>
      <c r="F8" s="3">
        <f t="shared" si="0"/>
        <v>0.66495507060333758</v>
      </c>
      <c r="G8" s="5"/>
    </row>
    <row r="9" spans="1:7" hidden="1" x14ac:dyDescent="0.25">
      <c r="A9" s="5" t="s">
        <v>49</v>
      </c>
      <c r="B9" s="5">
        <v>425</v>
      </c>
      <c r="C9" s="5">
        <v>54</v>
      </c>
      <c r="D9" s="5">
        <v>518</v>
      </c>
      <c r="E9" s="5">
        <v>779</v>
      </c>
      <c r="F9" s="4">
        <f t="shared" si="0"/>
        <v>0.66495507060333758</v>
      </c>
      <c r="G9" s="5"/>
    </row>
    <row r="10" spans="1:7" x14ac:dyDescent="0.25">
      <c r="A10" s="2" t="s">
        <v>18</v>
      </c>
      <c r="B10" s="5"/>
      <c r="C10" s="5"/>
      <c r="D10" s="2">
        <f>SUM(D11:D16)</f>
        <v>471</v>
      </c>
      <c r="E10" s="2">
        <f>SUM(E11:E16)</f>
        <v>841</v>
      </c>
      <c r="F10" s="3">
        <f t="shared" si="0"/>
        <v>0.56004756242568376</v>
      </c>
      <c r="G10" s="5"/>
    </row>
    <row r="11" spans="1:7" hidden="1" x14ac:dyDescent="0.25">
      <c r="A11" s="5" t="s">
        <v>51</v>
      </c>
      <c r="B11" s="5">
        <v>54</v>
      </c>
      <c r="C11" s="5">
        <v>3</v>
      </c>
      <c r="D11" s="5">
        <v>62</v>
      </c>
      <c r="E11" s="5">
        <v>144</v>
      </c>
      <c r="F11" s="4">
        <f t="shared" ref="F11:F16" si="1">D11/E11</f>
        <v>0.43055555555555558</v>
      </c>
      <c r="G11" s="5"/>
    </row>
    <row r="12" spans="1:7" hidden="1" x14ac:dyDescent="0.25">
      <c r="A12" s="5" t="s">
        <v>53</v>
      </c>
      <c r="B12" s="5">
        <v>86</v>
      </c>
      <c r="C12" s="5">
        <v>22</v>
      </c>
      <c r="D12" s="5">
        <v>114</v>
      </c>
      <c r="E12" s="5">
        <v>155</v>
      </c>
      <c r="F12" s="4">
        <f t="shared" si="1"/>
        <v>0.73548387096774193</v>
      </c>
      <c r="G12" s="5"/>
    </row>
    <row r="13" spans="1:7" hidden="1" x14ac:dyDescent="0.25">
      <c r="A13" s="5" t="s">
        <v>55</v>
      </c>
      <c r="B13" s="5">
        <v>42</v>
      </c>
      <c r="C13" s="5">
        <v>19</v>
      </c>
      <c r="D13" s="5">
        <v>73</v>
      </c>
      <c r="E13" s="5">
        <v>151</v>
      </c>
      <c r="F13" s="4">
        <f t="shared" si="1"/>
        <v>0.48344370860927155</v>
      </c>
      <c r="G13" s="5"/>
    </row>
    <row r="14" spans="1:7" hidden="1" x14ac:dyDescent="0.25">
      <c r="A14" s="5" t="s">
        <v>57</v>
      </c>
      <c r="B14" s="5">
        <v>67</v>
      </c>
      <c r="C14" s="5">
        <v>10</v>
      </c>
      <c r="D14" s="5">
        <v>83</v>
      </c>
      <c r="E14" s="5">
        <v>146</v>
      </c>
      <c r="F14" s="4">
        <f t="shared" si="1"/>
        <v>0.56849315068493156</v>
      </c>
      <c r="G14" s="5"/>
    </row>
    <row r="15" spans="1:7" hidden="1" x14ac:dyDescent="0.25">
      <c r="A15" s="5" t="s">
        <v>59</v>
      </c>
      <c r="B15" s="5">
        <v>57</v>
      </c>
      <c r="C15" s="5">
        <v>15</v>
      </c>
      <c r="D15" s="5">
        <v>82</v>
      </c>
      <c r="E15" s="5">
        <v>125</v>
      </c>
      <c r="F15" s="4">
        <f t="shared" si="1"/>
        <v>0.65600000000000003</v>
      </c>
      <c r="G15" s="5"/>
    </row>
    <row r="16" spans="1:7" hidden="1" x14ac:dyDescent="0.25">
      <c r="A16" s="5" t="s">
        <v>61</v>
      </c>
      <c r="B16" s="5">
        <v>20</v>
      </c>
      <c r="C16" s="5">
        <v>20</v>
      </c>
      <c r="D16" s="5">
        <v>57</v>
      </c>
      <c r="E16" s="5">
        <v>120</v>
      </c>
      <c r="F16" s="4">
        <f t="shared" si="1"/>
        <v>0.47499999999999998</v>
      </c>
      <c r="G16" s="5"/>
    </row>
    <row r="17" spans="1:7" x14ac:dyDescent="0.25">
      <c r="A17" s="2" t="s">
        <v>28</v>
      </c>
      <c r="B17" s="5"/>
      <c r="C17" s="5"/>
      <c r="D17" s="2">
        <f>SUM(D18:D19)</f>
        <v>234</v>
      </c>
      <c r="E17" s="2">
        <f>SUM(E18:E19)</f>
        <v>273</v>
      </c>
      <c r="F17" s="3">
        <f>D17/E17</f>
        <v>0.8571428571428571</v>
      </c>
      <c r="G17" s="5"/>
    </row>
    <row r="18" spans="1:7" hidden="1" x14ac:dyDescent="0.25">
      <c r="A18" s="5" t="s">
        <v>64</v>
      </c>
      <c r="B18" s="5">
        <v>37</v>
      </c>
      <c r="C18" s="5">
        <v>8</v>
      </c>
      <c r="D18" s="5">
        <v>47</v>
      </c>
      <c r="E18" s="5">
        <v>66</v>
      </c>
      <c r="F18" s="4">
        <f>D18/E18</f>
        <v>0.71212121212121215</v>
      </c>
      <c r="G18" s="5"/>
    </row>
    <row r="19" spans="1:7" hidden="1" x14ac:dyDescent="0.25">
      <c r="A19" s="5" t="s">
        <v>66</v>
      </c>
      <c r="B19" s="5">
        <v>183</v>
      </c>
      <c r="C19" s="5">
        <v>3</v>
      </c>
      <c r="D19" s="5">
        <v>187</v>
      </c>
      <c r="E19" s="5">
        <v>207</v>
      </c>
      <c r="F19" s="4">
        <f>D19/E19</f>
        <v>0.90338164251207731</v>
      </c>
      <c r="G19" s="5"/>
    </row>
    <row r="20" spans="1:7" x14ac:dyDescent="0.25">
      <c r="A20" s="2" t="s">
        <v>32</v>
      </c>
      <c r="B20" s="5"/>
      <c r="C20" s="5"/>
      <c r="D20" s="2">
        <f>SUM(D21:D39)</f>
        <v>1146</v>
      </c>
      <c r="E20" s="2">
        <f>SUM(E21:E39)</f>
        <v>1814</v>
      </c>
      <c r="F20" s="3">
        <f>D20/E20</f>
        <v>0.63175303197353916</v>
      </c>
      <c r="G20" s="5"/>
    </row>
    <row r="21" spans="1:7" hidden="1" x14ac:dyDescent="0.25">
      <c r="A21" s="5" t="s">
        <v>69</v>
      </c>
      <c r="B21" s="5">
        <v>38</v>
      </c>
      <c r="C21" s="5">
        <v>6</v>
      </c>
      <c r="D21" s="5">
        <v>45</v>
      </c>
      <c r="E21" s="5">
        <v>100</v>
      </c>
      <c r="F21" s="4">
        <f t="shared" ref="F21:F39" si="2">D21/E21</f>
        <v>0.45</v>
      </c>
      <c r="G21" s="5"/>
    </row>
    <row r="22" spans="1:7" hidden="1" x14ac:dyDescent="0.25">
      <c r="A22" s="5" t="s">
        <v>71</v>
      </c>
      <c r="B22" s="5">
        <v>48</v>
      </c>
      <c r="C22" s="5">
        <v>14</v>
      </c>
      <c r="D22" s="5">
        <v>70</v>
      </c>
      <c r="E22" s="5">
        <v>101</v>
      </c>
      <c r="F22" s="4">
        <f t="shared" si="2"/>
        <v>0.69306930693069302</v>
      </c>
      <c r="G22" s="5"/>
    </row>
    <row r="23" spans="1:7" hidden="1" x14ac:dyDescent="0.25">
      <c r="A23" s="5" t="s">
        <v>72</v>
      </c>
      <c r="B23" s="5">
        <v>50</v>
      </c>
      <c r="C23" s="5">
        <v>8</v>
      </c>
      <c r="D23" s="5">
        <v>64</v>
      </c>
      <c r="E23" s="5">
        <v>102</v>
      </c>
      <c r="F23" s="4">
        <f t="shared" si="2"/>
        <v>0.62745098039215685</v>
      </c>
      <c r="G23" s="5"/>
    </row>
    <row r="24" spans="1:7" hidden="1" x14ac:dyDescent="0.25">
      <c r="A24" s="5" t="s">
        <v>74</v>
      </c>
      <c r="B24" s="5">
        <v>16</v>
      </c>
      <c r="C24" s="5">
        <v>10</v>
      </c>
      <c r="D24" s="5">
        <v>34</v>
      </c>
      <c r="E24" s="5">
        <v>94</v>
      </c>
      <c r="F24" s="4">
        <f t="shared" si="2"/>
        <v>0.36170212765957449</v>
      </c>
      <c r="G24" s="5"/>
    </row>
    <row r="25" spans="1:7" hidden="1" x14ac:dyDescent="0.25">
      <c r="A25" s="5" t="s">
        <v>76</v>
      </c>
      <c r="B25" s="5">
        <v>28</v>
      </c>
      <c r="C25" s="5">
        <v>0</v>
      </c>
      <c r="D25" s="5">
        <f t="shared" ref="D25:D38" si="3">B25+C25</f>
        <v>28</v>
      </c>
      <c r="E25" s="5">
        <v>44</v>
      </c>
      <c r="F25" s="4">
        <f t="shared" si="2"/>
        <v>0.63636363636363635</v>
      </c>
      <c r="G25" s="5"/>
    </row>
    <row r="26" spans="1:7" hidden="1" x14ac:dyDescent="0.25">
      <c r="A26" s="5" t="s">
        <v>78</v>
      </c>
      <c r="B26" s="5">
        <v>53</v>
      </c>
      <c r="C26" s="5">
        <v>1</v>
      </c>
      <c r="D26" s="5">
        <v>60</v>
      </c>
      <c r="E26" s="5">
        <v>88</v>
      </c>
      <c r="F26" s="4">
        <f t="shared" si="2"/>
        <v>0.68181818181818177</v>
      </c>
      <c r="G26" s="5"/>
    </row>
    <row r="27" spans="1:7" hidden="1" x14ac:dyDescent="0.25">
      <c r="A27" s="5" t="s">
        <v>80</v>
      </c>
      <c r="B27" s="5">
        <v>74</v>
      </c>
      <c r="C27" s="5">
        <v>5</v>
      </c>
      <c r="D27" s="5">
        <v>81</v>
      </c>
      <c r="E27" s="5">
        <v>97</v>
      </c>
      <c r="F27" s="4">
        <f t="shared" si="2"/>
        <v>0.83505154639175261</v>
      </c>
      <c r="G27" s="5"/>
    </row>
    <row r="28" spans="1:7" hidden="1" x14ac:dyDescent="0.25">
      <c r="A28" s="5" t="s">
        <v>82</v>
      </c>
      <c r="B28" s="5">
        <v>50</v>
      </c>
      <c r="C28" s="5">
        <v>8</v>
      </c>
      <c r="D28" s="5">
        <v>59</v>
      </c>
      <c r="E28" s="5">
        <v>80</v>
      </c>
      <c r="F28" s="4">
        <f t="shared" si="2"/>
        <v>0.73750000000000004</v>
      </c>
      <c r="G28" s="5"/>
    </row>
    <row r="29" spans="1:7" hidden="1" x14ac:dyDescent="0.25">
      <c r="A29" s="5" t="s">
        <v>84</v>
      </c>
      <c r="B29" s="5">
        <v>37</v>
      </c>
      <c r="C29" s="5">
        <v>10</v>
      </c>
      <c r="D29" s="5">
        <v>54</v>
      </c>
      <c r="E29" s="5">
        <v>90</v>
      </c>
      <c r="F29" s="4">
        <f t="shared" si="2"/>
        <v>0.6</v>
      </c>
      <c r="G29" s="5"/>
    </row>
    <row r="30" spans="1:7" hidden="1" x14ac:dyDescent="0.25">
      <c r="A30" s="5" t="s">
        <v>86</v>
      </c>
      <c r="B30" s="5">
        <v>28</v>
      </c>
      <c r="C30" s="5">
        <v>8</v>
      </c>
      <c r="D30" s="5">
        <v>39</v>
      </c>
      <c r="E30" s="5">
        <v>66</v>
      </c>
      <c r="F30" s="4">
        <f t="shared" si="2"/>
        <v>0.59090909090909094</v>
      </c>
      <c r="G30" s="5"/>
    </row>
    <row r="31" spans="1:7" hidden="1" x14ac:dyDescent="0.25">
      <c r="A31" s="5" t="s">
        <v>87</v>
      </c>
      <c r="B31" s="5">
        <v>185</v>
      </c>
      <c r="C31" s="5">
        <v>46</v>
      </c>
      <c r="D31" s="5">
        <v>273</v>
      </c>
      <c r="E31" s="5">
        <v>355</v>
      </c>
      <c r="F31" s="4">
        <f t="shared" si="2"/>
        <v>0.76901408450704223</v>
      </c>
      <c r="G31" s="5"/>
    </row>
    <row r="32" spans="1:7" hidden="1" x14ac:dyDescent="0.25">
      <c r="A32" s="5" t="s">
        <v>88</v>
      </c>
      <c r="B32" s="5">
        <v>43</v>
      </c>
      <c r="C32" s="5">
        <v>5</v>
      </c>
      <c r="D32" s="5">
        <v>64</v>
      </c>
      <c r="E32" s="5">
        <v>105</v>
      </c>
      <c r="F32" s="4">
        <f t="shared" si="2"/>
        <v>0.60952380952380958</v>
      </c>
      <c r="G32" s="5"/>
    </row>
    <row r="33" spans="1:7" hidden="1" x14ac:dyDescent="0.25">
      <c r="A33" s="5" t="s">
        <v>90</v>
      </c>
      <c r="B33" s="5">
        <v>34</v>
      </c>
      <c r="C33" s="5">
        <v>7</v>
      </c>
      <c r="D33" s="5">
        <f t="shared" si="3"/>
        <v>41</v>
      </c>
      <c r="E33" s="5">
        <v>84</v>
      </c>
      <c r="F33" s="4">
        <f t="shared" si="2"/>
        <v>0.48809523809523808</v>
      </c>
      <c r="G33" s="5"/>
    </row>
    <row r="34" spans="1:7" hidden="1" x14ac:dyDescent="0.25">
      <c r="A34" s="5" t="s">
        <v>91</v>
      </c>
      <c r="B34" s="5">
        <v>50</v>
      </c>
      <c r="C34" s="5">
        <v>6</v>
      </c>
      <c r="D34" s="5">
        <v>61</v>
      </c>
      <c r="E34" s="5">
        <v>96</v>
      </c>
      <c r="F34" s="4">
        <f t="shared" si="2"/>
        <v>0.63541666666666663</v>
      </c>
      <c r="G34" s="5"/>
    </row>
    <row r="35" spans="1:7" hidden="1" x14ac:dyDescent="0.25">
      <c r="A35" s="5" t="s">
        <v>93</v>
      </c>
      <c r="B35" s="5">
        <v>5</v>
      </c>
      <c r="C35" s="5">
        <v>3</v>
      </c>
      <c r="D35" s="5">
        <f t="shared" si="3"/>
        <v>8</v>
      </c>
      <c r="E35" s="5">
        <v>41</v>
      </c>
      <c r="F35" s="4">
        <f t="shared" si="2"/>
        <v>0.1951219512195122</v>
      </c>
      <c r="G35" s="5"/>
    </row>
    <row r="36" spans="1:7" hidden="1" x14ac:dyDescent="0.25">
      <c r="A36" s="5" t="s">
        <v>94</v>
      </c>
      <c r="B36" s="5">
        <v>46</v>
      </c>
      <c r="C36" s="5">
        <v>10</v>
      </c>
      <c r="D36" s="5">
        <v>57</v>
      </c>
      <c r="E36" s="5">
        <v>88</v>
      </c>
      <c r="F36" s="4">
        <f t="shared" si="2"/>
        <v>0.64772727272727271</v>
      </c>
      <c r="G36" s="5"/>
    </row>
    <row r="37" spans="1:7" hidden="1" x14ac:dyDescent="0.25">
      <c r="A37" s="5" t="s">
        <v>96</v>
      </c>
      <c r="B37" s="5">
        <v>14</v>
      </c>
      <c r="C37" s="5">
        <v>17</v>
      </c>
      <c r="D37" s="5">
        <v>37</v>
      </c>
      <c r="E37" s="5">
        <v>84</v>
      </c>
      <c r="F37" s="4">
        <f t="shared" si="2"/>
        <v>0.44047619047619047</v>
      </c>
      <c r="G37" s="5"/>
    </row>
    <row r="38" spans="1:7" hidden="1" x14ac:dyDescent="0.25">
      <c r="A38" s="5" t="s">
        <v>97</v>
      </c>
      <c r="B38" s="5">
        <v>40</v>
      </c>
      <c r="C38" s="5">
        <v>6</v>
      </c>
      <c r="D38" s="5">
        <f t="shared" si="3"/>
        <v>46</v>
      </c>
      <c r="E38" s="5">
        <v>56</v>
      </c>
      <c r="F38" s="4">
        <f t="shared" si="2"/>
        <v>0.8214285714285714</v>
      </c>
      <c r="G38" s="5"/>
    </row>
    <row r="39" spans="1:7" hidden="1" x14ac:dyDescent="0.25">
      <c r="A39" s="5" t="s">
        <v>99</v>
      </c>
      <c r="B39" s="5">
        <v>22</v>
      </c>
      <c r="C39" s="5">
        <v>1</v>
      </c>
      <c r="D39" s="5">
        <v>25</v>
      </c>
      <c r="E39" s="5">
        <v>43</v>
      </c>
      <c r="F39" s="4">
        <f t="shared" si="2"/>
        <v>0.58139534883720934</v>
      </c>
      <c r="G39" s="5"/>
    </row>
    <row r="40" spans="1:7" x14ac:dyDescent="0.25">
      <c r="A40" s="2" t="s">
        <v>25</v>
      </c>
      <c r="B40" s="5"/>
      <c r="C40" s="5"/>
      <c r="D40" s="2">
        <f>SUM(D41:D46)</f>
        <v>429</v>
      </c>
      <c r="E40" s="2">
        <f>SUM(E41:E46)</f>
        <v>654</v>
      </c>
      <c r="F40" s="3">
        <f>D40/E40</f>
        <v>0.65596330275229353</v>
      </c>
      <c r="G40" s="5"/>
    </row>
    <row r="41" spans="1:7" hidden="1" x14ac:dyDescent="0.25">
      <c r="A41" s="5" t="s">
        <v>101</v>
      </c>
      <c r="B41" s="5">
        <v>57</v>
      </c>
      <c r="C41" s="5">
        <v>19</v>
      </c>
      <c r="D41" s="5">
        <v>86</v>
      </c>
      <c r="E41" s="5">
        <v>133</v>
      </c>
      <c r="F41" s="4">
        <f t="shared" ref="F41:F46" si="4">D41/E41</f>
        <v>0.64661654135338342</v>
      </c>
      <c r="G41" s="5"/>
    </row>
    <row r="42" spans="1:7" hidden="1" x14ac:dyDescent="0.25">
      <c r="A42" s="5" t="s">
        <v>102</v>
      </c>
      <c r="B42" s="5">
        <v>23</v>
      </c>
      <c r="C42" s="5">
        <v>4</v>
      </c>
      <c r="D42" s="5">
        <v>31</v>
      </c>
      <c r="E42" s="5">
        <v>57</v>
      </c>
      <c r="F42" s="4">
        <f t="shared" si="4"/>
        <v>0.54385964912280704</v>
      </c>
      <c r="G42" s="5"/>
    </row>
    <row r="43" spans="1:7" hidden="1" x14ac:dyDescent="0.25">
      <c r="A43" s="5" t="s">
        <v>104</v>
      </c>
      <c r="B43" s="5">
        <v>27</v>
      </c>
      <c r="C43" s="5">
        <v>8</v>
      </c>
      <c r="D43" s="5">
        <v>51</v>
      </c>
      <c r="E43" s="5">
        <v>94</v>
      </c>
      <c r="F43" s="4">
        <f t="shared" si="4"/>
        <v>0.54255319148936165</v>
      </c>
      <c r="G43" s="5"/>
    </row>
    <row r="44" spans="1:7" hidden="1" x14ac:dyDescent="0.25">
      <c r="A44" s="5" t="s">
        <v>105</v>
      </c>
      <c r="B44" s="5">
        <v>38</v>
      </c>
      <c r="C44" s="5">
        <v>18</v>
      </c>
      <c r="D44" s="5">
        <v>63</v>
      </c>
      <c r="E44" s="5">
        <v>110</v>
      </c>
      <c r="F44" s="4">
        <f t="shared" si="4"/>
        <v>0.57272727272727275</v>
      </c>
      <c r="G44" s="5"/>
    </row>
    <row r="45" spans="1:7" hidden="1" x14ac:dyDescent="0.25">
      <c r="A45" s="5" t="s">
        <v>107</v>
      </c>
      <c r="B45" s="5">
        <v>46</v>
      </c>
      <c r="C45" s="5">
        <v>36</v>
      </c>
      <c r="D45" s="5">
        <v>91</v>
      </c>
      <c r="E45" s="5">
        <v>125</v>
      </c>
      <c r="F45" s="4">
        <f t="shared" si="4"/>
        <v>0.72799999999999998</v>
      </c>
      <c r="G45" s="5"/>
    </row>
    <row r="46" spans="1:7" hidden="1" x14ac:dyDescent="0.25">
      <c r="A46" s="5" t="s">
        <v>108</v>
      </c>
      <c r="B46" s="5">
        <v>99</v>
      </c>
      <c r="C46" s="5">
        <v>5</v>
      </c>
      <c r="D46" s="5">
        <v>107</v>
      </c>
      <c r="E46" s="5">
        <v>135</v>
      </c>
      <c r="F46" s="4">
        <f t="shared" si="4"/>
        <v>0.79259259259259263</v>
      </c>
      <c r="G46" s="5"/>
    </row>
    <row r="47" spans="1:7" x14ac:dyDescent="0.25">
      <c r="A47" s="2" t="s">
        <v>62</v>
      </c>
      <c r="B47" s="5"/>
      <c r="C47" s="5"/>
      <c r="D47" s="2">
        <f>SUM(D48:D62)</f>
        <v>520</v>
      </c>
      <c r="E47" s="2">
        <f>SUM(E48:E62)</f>
        <v>1053</v>
      </c>
      <c r="F47" s="3">
        <f>D47/E47</f>
        <v>0.49382716049382713</v>
      </c>
      <c r="G47" s="5"/>
    </row>
    <row r="48" spans="1:7" hidden="1" x14ac:dyDescent="0.25">
      <c r="A48" s="5" t="s">
        <v>109</v>
      </c>
      <c r="B48" s="5">
        <v>32</v>
      </c>
      <c r="C48" s="5">
        <v>14</v>
      </c>
      <c r="D48" s="5">
        <v>57</v>
      </c>
      <c r="E48" s="5">
        <v>105</v>
      </c>
      <c r="F48" s="4">
        <f t="shared" ref="F48:F62" si="5">D48/E48</f>
        <v>0.54285714285714282</v>
      </c>
      <c r="G48" s="5"/>
    </row>
    <row r="49" spans="1:8" hidden="1" x14ac:dyDescent="0.25">
      <c r="A49" s="5" t="s">
        <v>110</v>
      </c>
      <c r="B49" s="5">
        <v>15</v>
      </c>
      <c r="C49" s="5">
        <v>6</v>
      </c>
      <c r="D49" s="5">
        <v>36</v>
      </c>
      <c r="E49" s="5">
        <v>85</v>
      </c>
      <c r="F49" s="4">
        <f t="shared" si="5"/>
        <v>0.42352941176470588</v>
      </c>
      <c r="G49" s="5"/>
    </row>
    <row r="50" spans="1:8" hidden="1" x14ac:dyDescent="0.25">
      <c r="A50" s="5" t="s">
        <v>111</v>
      </c>
      <c r="B50" s="5">
        <v>14</v>
      </c>
      <c r="C50" s="5">
        <v>8</v>
      </c>
      <c r="D50" s="5">
        <v>31</v>
      </c>
      <c r="E50" s="5">
        <v>81</v>
      </c>
      <c r="F50" s="4">
        <f t="shared" si="5"/>
        <v>0.38271604938271603</v>
      </c>
      <c r="G50" s="5"/>
    </row>
    <row r="51" spans="1:8" hidden="1" x14ac:dyDescent="0.25">
      <c r="A51" s="5" t="s">
        <v>112</v>
      </c>
      <c r="B51" s="5">
        <v>8</v>
      </c>
      <c r="C51" s="5">
        <v>5</v>
      </c>
      <c r="D51" s="5">
        <v>21</v>
      </c>
      <c r="E51" s="5">
        <v>57</v>
      </c>
      <c r="F51" s="4">
        <f t="shared" si="5"/>
        <v>0.36842105263157893</v>
      </c>
      <c r="G51" s="5"/>
    </row>
    <row r="52" spans="1:8" hidden="1" x14ac:dyDescent="0.25">
      <c r="A52" s="5" t="s">
        <v>113</v>
      </c>
      <c r="B52" s="5">
        <v>5</v>
      </c>
      <c r="C52" s="5">
        <v>2</v>
      </c>
      <c r="D52" s="5">
        <v>11</v>
      </c>
      <c r="E52" s="5">
        <v>40</v>
      </c>
      <c r="F52" s="4">
        <f t="shared" si="5"/>
        <v>0.27500000000000002</v>
      </c>
      <c r="G52" s="5"/>
    </row>
    <row r="53" spans="1:8" hidden="1" x14ac:dyDescent="0.25">
      <c r="A53" s="5" t="s">
        <v>114</v>
      </c>
      <c r="B53" s="5">
        <v>10</v>
      </c>
      <c r="C53" s="5">
        <v>11</v>
      </c>
      <c r="D53" s="5">
        <v>22</v>
      </c>
      <c r="E53" s="5">
        <v>69</v>
      </c>
      <c r="F53" s="4">
        <f t="shared" si="5"/>
        <v>0.3188405797101449</v>
      </c>
      <c r="G53" s="5"/>
    </row>
    <row r="54" spans="1:8" hidden="1" x14ac:dyDescent="0.25">
      <c r="A54" s="5" t="s">
        <v>115</v>
      </c>
      <c r="B54" s="5">
        <v>43</v>
      </c>
      <c r="C54" s="5">
        <v>9</v>
      </c>
      <c r="D54" s="5">
        <v>64</v>
      </c>
      <c r="E54" s="5">
        <v>92</v>
      </c>
      <c r="F54" s="4">
        <f t="shared" si="5"/>
        <v>0.69565217391304346</v>
      </c>
      <c r="G54" s="5"/>
    </row>
    <row r="55" spans="1:8" hidden="1" x14ac:dyDescent="0.25">
      <c r="A55" s="5" t="s">
        <v>116</v>
      </c>
      <c r="B55" s="5">
        <v>26</v>
      </c>
      <c r="C55" s="5">
        <v>5</v>
      </c>
      <c r="D55" s="5">
        <v>36</v>
      </c>
      <c r="E55" s="5">
        <v>59</v>
      </c>
      <c r="F55" s="4">
        <f t="shared" si="5"/>
        <v>0.61016949152542377</v>
      </c>
      <c r="G55" s="5"/>
    </row>
    <row r="56" spans="1:8" hidden="1" x14ac:dyDescent="0.25">
      <c r="A56" s="5" t="s">
        <v>117</v>
      </c>
      <c r="B56" s="5">
        <v>6</v>
      </c>
      <c r="C56" s="5">
        <v>3</v>
      </c>
      <c r="D56" s="5">
        <v>16</v>
      </c>
      <c r="E56" s="5">
        <v>67</v>
      </c>
      <c r="F56" s="4">
        <f t="shared" si="5"/>
        <v>0.23880597014925373</v>
      </c>
      <c r="G56" s="5"/>
      <c r="H56" s="10"/>
    </row>
    <row r="57" spans="1:8" hidden="1" x14ac:dyDescent="0.25">
      <c r="A57" s="5" t="s">
        <v>118</v>
      </c>
      <c r="B57" s="5">
        <v>26</v>
      </c>
      <c r="C57" s="5">
        <v>10</v>
      </c>
      <c r="D57" s="5">
        <v>39</v>
      </c>
      <c r="E57" s="5">
        <v>77</v>
      </c>
      <c r="F57" s="4">
        <f t="shared" si="5"/>
        <v>0.50649350649350644</v>
      </c>
      <c r="G57" s="5"/>
      <c r="H57" s="10"/>
    </row>
    <row r="58" spans="1:8" hidden="1" x14ac:dyDescent="0.25">
      <c r="A58" s="5" t="s">
        <v>119</v>
      </c>
      <c r="B58" s="5">
        <v>8</v>
      </c>
      <c r="C58" s="5">
        <v>7</v>
      </c>
      <c r="D58" s="5">
        <v>20</v>
      </c>
      <c r="E58" s="5">
        <v>40</v>
      </c>
      <c r="F58" s="4">
        <f t="shared" si="5"/>
        <v>0.5</v>
      </c>
      <c r="G58" s="5"/>
      <c r="H58" s="10"/>
    </row>
    <row r="59" spans="1:8" hidden="1" x14ac:dyDescent="0.25">
      <c r="A59" s="5" t="s">
        <v>120</v>
      </c>
      <c r="B59" s="5">
        <v>10</v>
      </c>
      <c r="C59" s="5">
        <v>3</v>
      </c>
      <c r="D59" s="5">
        <v>16</v>
      </c>
      <c r="E59" s="5">
        <v>37</v>
      </c>
      <c r="F59" s="4">
        <f t="shared" si="5"/>
        <v>0.43243243243243246</v>
      </c>
      <c r="G59" s="5"/>
      <c r="H59" s="10"/>
    </row>
    <row r="60" spans="1:8" hidden="1" x14ac:dyDescent="0.25">
      <c r="A60" s="5" t="s">
        <v>121</v>
      </c>
      <c r="B60" s="5">
        <v>24</v>
      </c>
      <c r="C60" s="5">
        <v>7</v>
      </c>
      <c r="D60" s="5">
        <v>41</v>
      </c>
      <c r="E60" s="5">
        <v>84</v>
      </c>
      <c r="F60" s="4">
        <f t="shared" si="5"/>
        <v>0.48809523809523808</v>
      </c>
      <c r="G60" s="5"/>
      <c r="H60" s="10"/>
    </row>
    <row r="61" spans="1:8" hidden="1" x14ac:dyDescent="0.25">
      <c r="A61" s="5" t="s">
        <v>122</v>
      </c>
      <c r="B61" s="5">
        <v>47</v>
      </c>
      <c r="C61" s="5">
        <v>8</v>
      </c>
      <c r="D61" s="5">
        <v>59</v>
      </c>
      <c r="E61" s="5">
        <v>87</v>
      </c>
      <c r="F61" s="4">
        <f t="shared" si="5"/>
        <v>0.67816091954022983</v>
      </c>
      <c r="G61" s="5"/>
      <c r="H61" s="10"/>
    </row>
    <row r="62" spans="1:8" hidden="1" x14ac:dyDescent="0.25">
      <c r="A62" s="5" t="s">
        <v>123</v>
      </c>
      <c r="B62" s="5">
        <v>34</v>
      </c>
      <c r="C62" s="5">
        <v>6</v>
      </c>
      <c r="D62" s="5">
        <v>51</v>
      </c>
      <c r="E62" s="5">
        <v>73</v>
      </c>
      <c r="F62" s="4">
        <f t="shared" si="5"/>
        <v>0.69863013698630139</v>
      </c>
      <c r="G62" s="5"/>
      <c r="H62" s="10"/>
    </row>
    <row r="63" spans="1:8" x14ac:dyDescent="0.25">
      <c r="A63" s="2" t="s">
        <v>29</v>
      </c>
      <c r="B63" s="5"/>
      <c r="C63" s="5"/>
      <c r="D63" s="2">
        <f>SUM(D64:D72)</f>
        <v>296</v>
      </c>
      <c r="E63" s="2">
        <f>SUM(E64:E72)</f>
        <v>953</v>
      </c>
      <c r="F63" s="3">
        <f>D63/E63</f>
        <v>0.31059811122770198</v>
      </c>
      <c r="G63" s="5"/>
      <c r="H63" s="10"/>
    </row>
    <row r="64" spans="1:8" hidden="1" x14ac:dyDescent="0.25">
      <c r="A64" s="5" t="s">
        <v>124</v>
      </c>
      <c r="B64" s="5">
        <v>9</v>
      </c>
      <c r="C64" s="5">
        <v>0</v>
      </c>
      <c r="D64" s="5">
        <v>32</v>
      </c>
      <c r="E64" s="5">
        <v>85</v>
      </c>
      <c r="F64" s="4">
        <f t="shared" ref="F64:F73" si="6">D64/E64</f>
        <v>0.37647058823529411</v>
      </c>
      <c r="G64" s="5"/>
    </row>
    <row r="65" spans="1:7" hidden="1" x14ac:dyDescent="0.25">
      <c r="A65" s="5" t="s">
        <v>125</v>
      </c>
      <c r="B65" s="5">
        <v>34</v>
      </c>
      <c r="C65" s="5">
        <v>31</v>
      </c>
      <c r="D65" s="5">
        <v>79</v>
      </c>
      <c r="E65" s="5">
        <v>135</v>
      </c>
      <c r="F65" s="4">
        <f t="shared" si="6"/>
        <v>0.58518518518518514</v>
      </c>
      <c r="G65" s="5"/>
    </row>
    <row r="66" spans="1:7" hidden="1" x14ac:dyDescent="0.25">
      <c r="A66" s="5" t="s">
        <v>126</v>
      </c>
      <c r="B66" s="5">
        <v>6</v>
      </c>
      <c r="C66" s="5">
        <v>4</v>
      </c>
      <c r="D66" s="5">
        <v>14</v>
      </c>
      <c r="E66" s="5">
        <v>86</v>
      </c>
      <c r="F66" s="4">
        <f t="shared" si="6"/>
        <v>0.16279069767441862</v>
      </c>
      <c r="G66" s="5"/>
    </row>
    <row r="67" spans="1:7" hidden="1" x14ac:dyDescent="0.25">
      <c r="A67" s="5" t="s">
        <v>127</v>
      </c>
      <c r="B67" s="5">
        <v>16</v>
      </c>
      <c r="C67" s="5">
        <v>11</v>
      </c>
      <c r="D67" s="5">
        <v>34</v>
      </c>
      <c r="E67" s="5">
        <v>74</v>
      </c>
      <c r="F67" s="4">
        <f t="shared" si="6"/>
        <v>0.45945945945945948</v>
      </c>
      <c r="G67" s="5"/>
    </row>
    <row r="68" spans="1:7" hidden="1" x14ac:dyDescent="0.25">
      <c r="A68" s="5" t="s">
        <v>128</v>
      </c>
      <c r="B68" s="5">
        <v>11</v>
      </c>
      <c r="C68" s="5">
        <v>19</v>
      </c>
      <c r="D68" s="5">
        <v>40</v>
      </c>
      <c r="E68" s="5">
        <v>144</v>
      </c>
      <c r="F68" s="4">
        <f t="shared" si="6"/>
        <v>0.27777777777777779</v>
      </c>
      <c r="G68" s="5"/>
    </row>
    <row r="69" spans="1:7" hidden="1" x14ac:dyDescent="0.25">
      <c r="A69" s="5" t="s">
        <v>129</v>
      </c>
      <c r="B69" s="5">
        <v>1</v>
      </c>
      <c r="C69" s="5">
        <v>2</v>
      </c>
      <c r="D69" s="5">
        <f t="shared" ref="D69:D70" si="7">B69+C69</f>
        <v>3</v>
      </c>
      <c r="E69" s="5">
        <v>131</v>
      </c>
      <c r="F69" s="8">
        <f t="shared" si="6"/>
        <v>2.2900763358778626E-2</v>
      </c>
      <c r="G69" s="5"/>
    </row>
    <row r="70" spans="1:7" hidden="1" x14ac:dyDescent="0.25">
      <c r="A70" s="5" t="s">
        <v>130</v>
      </c>
      <c r="B70" s="5">
        <v>5</v>
      </c>
      <c r="C70" s="5">
        <v>0</v>
      </c>
      <c r="D70" s="5">
        <f t="shared" si="7"/>
        <v>5</v>
      </c>
      <c r="E70" s="5">
        <v>13</v>
      </c>
      <c r="F70" s="4">
        <f t="shared" si="6"/>
        <v>0.38461538461538464</v>
      </c>
      <c r="G70" s="5"/>
    </row>
    <row r="71" spans="1:7" hidden="1" x14ac:dyDescent="0.25">
      <c r="A71" s="5" t="s">
        <v>131</v>
      </c>
      <c r="B71" s="5">
        <v>10</v>
      </c>
      <c r="C71" s="5">
        <v>4</v>
      </c>
      <c r="D71" s="5">
        <v>22</v>
      </c>
      <c r="E71" s="5">
        <v>138</v>
      </c>
      <c r="F71" s="4">
        <f t="shared" si="6"/>
        <v>0.15942028985507245</v>
      </c>
      <c r="G71" s="5"/>
    </row>
    <row r="72" spans="1:7" hidden="1" x14ac:dyDescent="0.25">
      <c r="A72" s="5" t="s">
        <v>132</v>
      </c>
      <c r="B72" s="5">
        <v>44</v>
      </c>
      <c r="C72" s="5">
        <v>17</v>
      </c>
      <c r="D72" s="5">
        <v>67</v>
      </c>
      <c r="E72" s="5">
        <v>147</v>
      </c>
      <c r="F72" s="4">
        <f t="shared" si="6"/>
        <v>0.45578231292517007</v>
      </c>
      <c r="G72" s="5"/>
    </row>
    <row r="73" spans="1:7" ht="15.75" x14ac:dyDescent="0.25">
      <c r="A73" s="32" t="s">
        <v>140</v>
      </c>
      <c r="B73" s="12"/>
      <c r="C73" s="12"/>
      <c r="D73" s="32">
        <f>D63+D47+D40+D20+D17+D10+D4</f>
        <v>3320</v>
      </c>
      <c r="E73" s="32">
        <f>E63+E47+E40+E20+E17+E10+E4</f>
        <v>6005</v>
      </c>
      <c r="F73" s="13">
        <f t="shared" si="6"/>
        <v>0.55287260616153211</v>
      </c>
      <c r="G73" s="5"/>
    </row>
    <row r="75" spans="1:7" ht="15.75" x14ac:dyDescent="0.25">
      <c r="D75" s="18" t="s">
        <v>135</v>
      </c>
      <c r="E75" s="18"/>
      <c r="F75" s="18"/>
      <c r="G75" s="18"/>
    </row>
    <row r="76" spans="1:7" ht="15.75" x14ac:dyDescent="0.25">
      <c r="D76" s="18"/>
      <c r="E76" s="18"/>
      <c r="F76" s="18"/>
      <c r="G76" s="18"/>
    </row>
    <row r="77" spans="1:7" ht="15.75" x14ac:dyDescent="0.25">
      <c r="D77" s="18"/>
      <c r="E77" s="18"/>
      <c r="F77" s="18"/>
      <c r="G77" s="18"/>
    </row>
    <row r="78" spans="1:7" ht="15.75" x14ac:dyDescent="0.25">
      <c r="D78" s="18"/>
      <c r="E78" s="18"/>
      <c r="F78" s="18"/>
      <c r="G78" s="18"/>
    </row>
    <row r="79" spans="1:7" ht="15.75" x14ac:dyDescent="0.25">
      <c r="D79" s="18"/>
      <c r="E79" s="18"/>
      <c r="F79" s="18"/>
      <c r="G79" s="18"/>
    </row>
    <row r="80" spans="1:7" ht="15" customHeight="1" x14ac:dyDescent="0.25">
      <c r="D80" s="57" t="s">
        <v>136</v>
      </c>
      <c r="E80" s="57"/>
      <c r="F80" s="57"/>
      <c r="G80" s="31"/>
    </row>
    <row r="81" spans="4:7" ht="15.75" x14ac:dyDescent="0.25">
      <c r="D81" s="18" t="s">
        <v>137</v>
      </c>
      <c r="E81" s="18"/>
      <c r="F81" s="18"/>
      <c r="G81" s="18"/>
    </row>
  </sheetData>
  <mergeCells count="2">
    <mergeCell ref="A1:G1"/>
    <mergeCell ref="D80:F80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5"/>
  <sheetViews>
    <sheetView workbookViewId="0">
      <selection activeCell="A43" sqref="A43"/>
    </sheetView>
  </sheetViews>
  <sheetFormatPr defaultRowHeight="15" x14ac:dyDescent="0.25"/>
  <cols>
    <col min="1" max="1" width="54.5703125" style="29" customWidth="1"/>
    <col min="2" max="3" width="0" hidden="1" customWidth="1"/>
    <col min="4" max="4" width="12" customWidth="1"/>
    <col min="6" max="6" width="10.85546875" bestFit="1" customWidth="1"/>
    <col min="10" max="10" width="38.5703125" bestFit="1" customWidth="1"/>
  </cols>
  <sheetData>
    <row r="1" spans="1:7" x14ac:dyDescent="0.25">
      <c r="A1" s="67" t="s">
        <v>145</v>
      </c>
      <c r="B1" s="67"/>
      <c r="C1" s="67"/>
      <c r="D1" s="67"/>
      <c r="E1" s="67"/>
      <c r="F1" s="67"/>
      <c r="G1" s="67"/>
    </row>
    <row r="2" spans="1:7" ht="45" x14ac:dyDescent="0.25">
      <c r="A2" s="35" t="s">
        <v>0</v>
      </c>
      <c r="B2" s="36" t="s">
        <v>1</v>
      </c>
      <c r="C2" s="36" t="s">
        <v>2</v>
      </c>
      <c r="D2" s="35" t="s">
        <v>144</v>
      </c>
      <c r="E2" s="36" t="s">
        <v>6</v>
      </c>
      <c r="F2" s="37" t="s">
        <v>4</v>
      </c>
      <c r="G2" s="36" t="s">
        <v>5</v>
      </c>
    </row>
    <row r="3" spans="1:7" x14ac:dyDescent="0.25">
      <c r="A3" s="24" t="s">
        <v>8</v>
      </c>
      <c r="B3" s="2"/>
      <c r="C3" s="2"/>
      <c r="D3" s="2"/>
      <c r="E3" s="2"/>
      <c r="F3" s="4"/>
      <c r="G3" s="5"/>
    </row>
    <row r="4" spans="1:7" x14ac:dyDescent="0.25">
      <c r="A4" s="24" t="s">
        <v>9</v>
      </c>
      <c r="B4" s="5"/>
      <c r="C4" s="5"/>
      <c r="D4" s="2">
        <f>SUM(D5:D7)</f>
        <v>51</v>
      </c>
      <c r="E4" s="2">
        <f>SUM(E5:E7)</f>
        <v>120</v>
      </c>
      <c r="F4" s="3">
        <f t="shared" ref="F4:F16" si="0">D4/E4</f>
        <v>0.42499999999999999</v>
      </c>
      <c r="G4" s="5"/>
    </row>
    <row r="5" spans="1:7" hidden="1" x14ac:dyDescent="0.25">
      <c r="A5" s="28" t="s">
        <v>11</v>
      </c>
      <c r="B5" s="5">
        <v>10</v>
      </c>
      <c r="C5" s="5">
        <v>1</v>
      </c>
      <c r="D5" s="5">
        <v>18</v>
      </c>
      <c r="E5" s="5">
        <v>44</v>
      </c>
      <c r="F5" s="4">
        <f t="shared" si="0"/>
        <v>0.40909090909090912</v>
      </c>
      <c r="G5" s="5"/>
    </row>
    <row r="6" spans="1:7" hidden="1" x14ac:dyDescent="0.25">
      <c r="A6" s="28" t="s">
        <v>13</v>
      </c>
      <c r="B6" s="5">
        <v>3</v>
      </c>
      <c r="C6" s="5">
        <v>2</v>
      </c>
      <c r="D6" s="5">
        <f>C6+B6</f>
        <v>5</v>
      </c>
      <c r="E6" s="5">
        <v>13</v>
      </c>
      <c r="F6" s="4">
        <f t="shared" si="0"/>
        <v>0.38461538461538464</v>
      </c>
      <c r="G6" s="5"/>
    </row>
    <row r="7" spans="1:7" hidden="1" x14ac:dyDescent="0.25">
      <c r="A7" s="28" t="s">
        <v>15</v>
      </c>
      <c r="B7" s="5">
        <v>12</v>
      </c>
      <c r="C7" s="5">
        <v>14</v>
      </c>
      <c r="D7" s="5">
        <v>28</v>
      </c>
      <c r="E7" s="5">
        <v>63</v>
      </c>
      <c r="F7" s="4">
        <f t="shared" si="0"/>
        <v>0.44444444444444442</v>
      </c>
      <c r="G7" s="5"/>
    </row>
    <row r="8" spans="1:7" x14ac:dyDescent="0.25">
      <c r="A8" s="24" t="s">
        <v>17</v>
      </c>
      <c r="B8" s="5">
        <v>70</v>
      </c>
      <c r="C8" s="5"/>
      <c r="D8" s="2">
        <v>80</v>
      </c>
      <c r="E8" s="2">
        <v>117</v>
      </c>
      <c r="F8" s="3">
        <f t="shared" si="0"/>
        <v>0.68376068376068377</v>
      </c>
      <c r="G8" s="5"/>
    </row>
    <row r="9" spans="1:7" hidden="1" x14ac:dyDescent="0.25">
      <c r="A9" s="28" t="s">
        <v>19</v>
      </c>
      <c r="B9" s="5">
        <v>70</v>
      </c>
      <c r="C9" s="5">
        <v>7</v>
      </c>
      <c r="D9" s="5">
        <v>80</v>
      </c>
      <c r="E9" s="5">
        <v>117</v>
      </c>
      <c r="F9" s="4">
        <f t="shared" si="0"/>
        <v>0.68376068376068377</v>
      </c>
      <c r="G9" s="5"/>
    </row>
    <row r="10" spans="1:7" x14ac:dyDescent="0.25">
      <c r="A10" s="24" t="s">
        <v>18</v>
      </c>
      <c r="B10" s="5">
        <v>16</v>
      </c>
      <c r="C10" s="5"/>
      <c r="D10" s="2">
        <f>SUM(D11:D13)</f>
        <v>23</v>
      </c>
      <c r="E10" s="2">
        <f>SUM(E11:E13)</f>
        <v>64</v>
      </c>
      <c r="F10" s="3">
        <f t="shared" si="0"/>
        <v>0.359375</v>
      </c>
      <c r="G10" s="5"/>
    </row>
    <row r="11" spans="1:7" hidden="1" x14ac:dyDescent="0.25">
      <c r="A11" s="28" t="s">
        <v>22</v>
      </c>
      <c r="B11" s="5">
        <v>2</v>
      </c>
      <c r="C11" s="5">
        <v>2</v>
      </c>
      <c r="D11" s="5">
        <v>5</v>
      </c>
      <c r="E11" s="5">
        <v>13</v>
      </c>
      <c r="F11" s="4">
        <f t="shared" si="0"/>
        <v>0.38461538461538464</v>
      </c>
      <c r="G11" s="5"/>
    </row>
    <row r="12" spans="1:7" hidden="1" x14ac:dyDescent="0.25">
      <c r="A12" s="28" t="s">
        <v>24</v>
      </c>
      <c r="B12" s="5">
        <v>10</v>
      </c>
      <c r="C12" s="5">
        <v>1</v>
      </c>
      <c r="D12" s="5">
        <v>13</v>
      </c>
      <c r="E12" s="5">
        <v>33</v>
      </c>
      <c r="F12" s="4">
        <f t="shared" si="0"/>
        <v>0.39393939393939392</v>
      </c>
      <c r="G12" s="5"/>
    </row>
    <row r="13" spans="1:7" hidden="1" x14ac:dyDescent="0.25">
      <c r="A13" s="28" t="s">
        <v>26</v>
      </c>
      <c r="B13" s="5">
        <v>4</v>
      </c>
      <c r="C13" s="5">
        <v>1</v>
      </c>
      <c r="D13" s="5">
        <f>C13+B13</f>
        <v>5</v>
      </c>
      <c r="E13" s="5">
        <v>18</v>
      </c>
      <c r="F13" s="4">
        <f t="shared" si="0"/>
        <v>0.27777777777777779</v>
      </c>
      <c r="G13" s="5"/>
    </row>
    <row r="14" spans="1:7" x14ac:dyDescent="0.25">
      <c r="A14" s="24" t="s">
        <v>28</v>
      </c>
      <c r="B14" s="5"/>
      <c r="C14" s="5"/>
      <c r="D14" s="2">
        <v>10</v>
      </c>
      <c r="E14" s="2">
        <v>18</v>
      </c>
      <c r="F14" s="3">
        <f t="shared" si="0"/>
        <v>0.55555555555555558</v>
      </c>
      <c r="G14" s="5"/>
    </row>
    <row r="15" spans="1:7" hidden="1" x14ac:dyDescent="0.25">
      <c r="A15" s="28" t="s">
        <v>30</v>
      </c>
      <c r="B15" s="5">
        <v>7</v>
      </c>
      <c r="C15" s="5">
        <v>1</v>
      </c>
      <c r="D15" s="5">
        <v>10</v>
      </c>
      <c r="E15" s="5">
        <v>18</v>
      </c>
      <c r="F15" s="4">
        <f t="shared" si="0"/>
        <v>0.55555555555555558</v>
      </c>
      <c r="G15" s="5"/>
    </row>
    <row r="16" spans="1:7" x14ac:dyDescent="0.25">
      <c r="A16" s="24" t="s">
        <v>32</v>
      </c>
      <c r="B16" s="5"/>
      <c r="C16" s="5"/>
      <c r="D16" s="2">
        <f>SUM(D17:D26)</f>
        <v>113</v>
      </c>
      <c r="E16" s="2">
        <f>SUM(E17:E26)</f>
        <v>166</v>
      </c>
      <c r="F16" s="3">
        <f t="shared" si="0"/>
        <v>0.68072289156626509</v>
      </c>
      <c r="G16" s="5"/>
    </row>
    <row r="17" spans="1:7" hidden="1" x14ac:dyDescent="0.25">
      <c r="A17" s="28" t="s">
        <v>34</v>
      </c>
      <c r="B17" s="5">
        <v>14</v>
      </c>
      <c r="C17" s="5">
        <v>0</v>
      </c>
      <c r="D17" s="5">
        <v>15</v>
      </c>
      <c r="E17" s="5">
        <v>17</v>
      </c>
      <c r="F17" s="4">
        <f t="shared" ref="F17:F26" si="1">D17/E17</f>
        <v>0.88235294117647056</v>
      </c>
      <c r="G17" s="5"/>
    </row>
    <row r="18" spans="1:7" hidden="1" x14ac:dyDescent="0.25">
      <c r="A18" s="28" t="s">
        <v>35</v>
      </c>
      <c r="B18" s="5">
        <v>11</v>
      </c>
      <c r="C18" s="5">
        <v>10</v>
      </c>
      <c r="D18" s="5">
        <v>22</v>
      </c>
      <c r="E18" s="5">
        <v>33</v>
      </c>
      <c r="F18" s="4">
        <f t="shared" si="1"/>
        <v>0.66666666666666663</v>
      </c>
      <c r="G18" s="5"/>
    </row>
    <row r="19" spans="1:7" hidden="1" x14ac:dyDescent="0.25">
      <c r="A19" s="28" t="s">
        <v>38</v>
      </c>
      <c r="B19" s="5">
        <v>7</v>
      </c>
      <c r="C19" s="5">
        <v>2</v>
      </c>
      <c r="D19" s="5">
        <f t="shared" ref="D19:D25" si="2">C19+B19</f>
        <v>9</v>
      </c>
      <c r="E19" s="5">
        <v>10</v>
      </c>
      <c r="F19" s="4">
        <f t="shared" si="1"/>
        <v>0.9</v>
      </c>
      <c r="G19" s="5"/>
    </row>
    <row r="20" spans="1:7" hidden="1" x14ac:dyDescent="0.25">
      <c r="A20" s="28" t="s">
        <v>40</v>
      </c>
      <c r="B20" s="5">
        <v>8</v>
      </c>
      <c r="C20" s="5">
        <v>0</v>
      </c>
      <c r="D20" s="5">
        <f t="shared" si="2"/>
        <v>8</v>
      </c>
      <c r="E20" s="5">
        <v>10</v>
      </c>
      <c r="F20" s="4">
        <f t="shared" si="1"/>
        <v>0.8</v>
      </c>
      <c r="G20" s="5"/>
    </row>
    <row r="21" spans="1:7" hidden="1" x14ac:dyDescent="0.25">
      <c r="A21" s="28" t="s">
        <v>41</v>
      </c>
      <c r="B21" s="5">
        <v>17</v>
      </c>
      <c r="C21" s="5">
        <v>2</v>
      </c>
      <c r="D21" s="5">
        <f t="shared" si="2"/>
        <v>19</v>
      </c>
      <c r="E21" s="5">
        <v>27</v>
      </c>
      <c r="F21" s="4">
        <f t="shared" si="1"/>
        <v>0.70370370370370372</v>
      </c>
      <c r="G21" s="5"/>
    </row>
    <row r="22" spans="1:7" hidden="1" x14ac:dyDescent="0.25">
      <c r="A22" s="28" t="s">
        <v>43</v>
      </c>
      <c r="B22" s="5">
        <v>6</v>
      </c>
      <c r="C22" s="5">
        <v>0</v>
      </c>
      <c r="D22" s="5">
        <v>8</v>
      </c>
      <c r="E22" s="5">
        <v>9</v>
      </c>
      <c r="F22" s="4">
        <f t="shared" si="1"/>
        <v>0.88888888888888884</v>
      </c>
      <c r="G22" s="5"/>
    </row>
    <row r="23" spans="1:7" hidden="1" x14ac:dyDescent="0.25">
      <c r="A23" s="28" t="s">
        <v>45</v>
      </c>
      <c r="B23" s="5">
        <v>1</v>
      </c>
      <c r="C23" s="5">
        <v>1</v>
      </c>
      <c r="D23" s="5">
        <f t="shared" si="2"/>
        <v>2</v>
      </c>
      <c r="E23" s="5">
        <v>6</v>
      </c>
      <c r="F23" s="4">
        <f t="shared" si="1"/>
        <v>0.33333333333333331</v>
      </c>
      <c r="G23" s="5"/>
    </row>
    <row r="24" spans="1:7" hidden="1" x14ac:dyDescent="0.25">
      <c r="A24" s="28" t="s">
        <v>47</v>
      </c>
      <c r="B24" s="5">
        <v>4</v>
      </c>
      <c r="C24" s="5">
        <v>2</v>
      </c>
      <c r="D24" s="5">
        <v>9</v>
      </c>
      <c r="E24" s="5">
        <v>7</v>
      </c>
      <c r="F24" s="4">
        <f t="shared" si="1"/>
        <v>1.2857142857142858</v>
      </c>
      <c r="G24" s="5"/>
    </row>
    <row r="25" spans="1:7" hidden="1" x14ac:dyDescent="0.25">
      <c r="A25" s="28" t="s">
        <v>48</v>
      </c>
      <c r="B25" s="5">
        <v>12</v>
      </c>
      <c r="C25" s="5">
        <v>0</v>
      </c>
      <c r="D25" s="5">
        <f t="shared" si="2"/>
        <v>12</v>
      </c>
      <c r="E25" s="5">
        <v>33</v>
      </c>
      <c r="F25" s="4">
        <f t="shared" si="1"/>
        <v>0.36363636363636365</v>
      </c>
      <c r="G25" s="5"/>
    </row>
    <row r="26" spans="1:7" hidden="1" x14ac:dyDescent="0.25">
      <c r="A26" s="28" t="s">
        <v>50</v>
      </c>
      <c r="B26" s="5">
        <v>7</v>
      </c>
      <c r="C26" s="5">
        <v>1</v>
      </c>
      <c r="D26" s="5">
        <v>9</v>
      </c>
      <c r="E26" s="5">
        <v>14</v>
      </c>
      <c r="F26" s="4">
        <f t="shared" si="1"/>
        <v>0.6428571428571429</v>
      </c>
      <c r="G26" s="5"/>
    </row>
    <row r="27" spans="1:7" x14ac:dyDescent="0.25">
      <c r="A27" s="24" t="s">
        <v>25</v>
      </c>
      <c r="B27" s="5"/>
      <c r="C27" s="5"/>
      <c r="D27" s="2">
        <f>SUM(D28:D32)</f>
        <v>16</v>
      </c>
      <c r="E27" s="2">
        <f>SUM(E28:E32)</f>
        <v>34</v>
      </c>
      <c r="F27" s="3">
        <f t="shared" ref="F27:F48" si="3">D27/E27</f>
        <v>0.47058823529411764</v>
      </c>
      <c r="G27" s="5"/>
    </row>
    <row r="28" spans="1:7" hidden="1" x14ac:dyDescent="0.25">
      <c r="A28" s="28" t="s">
        <v>52</v>
      </c>
      <c r="B28" s="5">
        <v>2</v>
      </c>
      <c r="C28" s="5">
        <v>0</v>
      </c>
      <c r="D28" s="5">
        <f>C28+B28</f>
        <v>2</v>
      </c>
      <c r="E28" s="5">
        <v>8</v>
      </c>
      <c r="F28" s="4">
        <f t="shared" si="3"/>
        <v>0.25</v>
      </c>
      <c r="G28" s="5"/>
    </row>
    <row r="29" spans="1:7" hidden="1" x14ac:dyDescent="0.25">
      <c r="A29" s="28" t="s">
        <v>54</v>
      </c>
      <c r="B29" s="5">
        <v>1</v>
      </c>
      <c r="C29" s="5">
        <v>0</v>
      </c>
      <c r="D29" s="5">
        <f>C29+B29</f>
        <v>1</v>
      </c>
      <c r="E29" s="5">
        <v>2</v>
      </c>
      <c r="F29" s="4">
        <f t="shared" si="3"/>
        <v>0.5</v>
      </c>
      <c r="G29" s="5"/>
    </row>
    <row r="30" spans="1:7" hidden="1" x14ac:dyDescent="0.25">
      <c r="A30" s="28" t="s">
        <v>56</v>
      </c>
      <c r="B30" s="5">
        <v>5</v>
      </c>
      <c r="C30" s="5">
        <v>0</v>
      </c>
      <c r="D30" s="5">
        <f>C30+B30</f>
        <v>5</v>
      </c>
      <c r="E30" s="5">
        <v>12</v>
      </c>
      <c r="F30" s="4">
        <f t="shared" si="3"/>
        <v>0.41666666666666669</v>
      </c>
      <c r="G30" s="5"/>
    </row>
    <row r="31" spans="1:7" hidden="1" x14ac:dyDescent="0.25">
      <c r="A31" s="28" t="s">
        <v>58</v>
      </c>
      <c r="B31" s="5">
        <v>1</v>
      </c>
      <c r="C31" s="5">
        <v>3</v>
      </c>
      <c r="D31" s="5">
        <f>C31+B31</f>
        <v>4</v>
      </c>
      <c r="E31" s="5">
        <v>7</v>
      </c>
      <c r="F31" s="4">
        <f t="shared" si="3"/>
        <v>0.5714285714285714</v>
      </c>
      <c r="G31" s="5"/>
    </row>
    <row r="32" spans="1:7" hidden="1" x14ac:dyDescent="0.25">
      <c r="A32" s="28" t="s">
        <v>60</v>
      </c>
      <c r="B32" s="5">
        <v>4</v>
      </c>
      <c r="C32" s="5">
        <v>0</v>
      </c>
      <c r="D32" s="5">
        <f>C32+B32</f>
        <v>4</v>
      </c>
      <c r="E32" s="5">
        <v>5</v>
      </c>
      <c r="F32" s="4">
        <f t="shared" si="3"/>
        <v>0.8</v>
      </c>
      <c r="G32" s="5"/>
    </row>
    <row r="33" spans="1:7" x14ac:dyDescent="0.25">
      <c r="A33" s="24" t="s">
        <v>62</v>
      </c>
      <c r="B33" s="5"/>
      <c r="C33" s="5"/>
      <c r="D33" s="2">
        <f>SUM(D34:D38)</f>
        <v>26</v>
      </c>
      <c r="E33" s="2">
        <f>SUM(E34:E38)</f>
        <v>59</v>
      </c>
      <c r="F33" s="3">
        <f t="shared" si="3"/>
        <v>0.44067796610169491</v>
      </c>
      <c r="G33" s="5"/>
    </row>
    <row r="34" spans="1:7" hidden="1" x14ac:dyDescent="0.25">
      <c r="A34" s="28" t="s">
        <v>63</v>
      </c>
      <c r="B34" s="5">
        <v>5</v>
      </c>
      <c r="C34" s="5">
        <v>1</v>
      </c>
      <c r="D34" s="5">
        <f>C34+B34</f>
        <v>6</v>
      </c>
      <c r="E34" s="5">
        <v>16</v>
      </c>
      <c r="F34" s="4">
        <f t="shared" si="3"/>
        <v>0.375</v>
      </c>
      <c r="G34" s="5"/>
    </row>
    <row r="35" spans="1:7" hidden="1" x14ac:dyDescent="0.25">
      <c r="A35" s="28" t="s">
        <v>65</v>
      </c>
      <c r="B35" s="5">
        <v>6</v>
      </c>
      <c r="C35" s="5">
        <v>3</v>
      </c>
      <c r="D35" s="5">
        <v>12</v>
      </c>
      <c r="E35" s="5">
        <v>19</v>
      </c>
      <c r="F35" s="4">
        <f t="shared" si="3"/>
        <v>0.63157894736842102</v>
      </c>
      <c r="G35" s="5"/>
    </row>
    <row r="36" spans="1:7" hidden="1" x14ac:dyDescent="0.25">
      <c r="A36" s="28" t="s">
        <v>67</v>
      </c>
      <c r="B36" s="5">
        <v>1</v>
      </c>
      <c r="C36" s="5">
        <v>0</v>
      </c>
      <c r="D36" s="5">
        <v>2</v>
      </c>
      <c r="E36" s="5">
        <v>6</v>
      </c>
      <c r="F36" s="4">
        <f t="shared" si="3"/>
        <v>0.33333333333333331</v>
      </c>
      <c r="G36" s="5"/>
    </row>
    <row r="37" spans="1:7" hidden="1" x14ac:dyDescent="0.25">
      <c r="A37" s="28" t="s">
        <v>68</v>
      </c>
      <c r="B37" s="5">
        <v>0</v>
      </c>
      <c r="C37" s="5">
        <v>1</v>
      </c>
      <c r="D37" s="5">
        <f>C37+B37</f>
        <v>1</v>
      </c>
      <c r="E37" s="5">
        <v>6</v>
      </c>
      <c r="F37" s="4">
        <f t="shared" si="3"/>
        <v>0.16666666666666666</v>
      </c>
      <c r="G37" s="5"/>
    </row>
    <row r="38" spans="1:7" hidden="1" x14ac:dyDescent="0.25">
      <c r="A38" s="28" t="s">
        <v>70</v>
      </c>
      <c r="B38" s="5">
        <v>3</v>
      </c>
      <c r="C38" s="5">
        <v>2</v>
      </c>
      <c r="D38" s="5">
        <f>C38+B38</f>
        <v>5</v>
      </c>
      <c r="E38" s="5">
        <v>12</v>
      </c>
      <c r="F38" s="4">
        <f t="shared" si="3"/>
        <v>0.41666666666666669</v>
      </c>
      <c r="G38" s="5"/>
    </row>
    <row r="39" spans="1:7" x14ac:dyDescent="0.25">
      <c r="A39" s="24" t="s">
        <v>29</v>
      </c>
      <c r="B39" s="5"/>
      <c r="C39" s="5"/>
      <c r="D39" s="2">
        <f>SUM(D40:D42)</f>
        <v>12</v>
      </c>
      <c r="E39" s="2">
        <f>SUM(E40:E42)</f>
        <v>45</v>
      </c>
      <c r="F39" s="3">
        <f t="shared" si="3"/>
        <v>0.26666666666666666</v>
      </c>
      <c r="G39" s="5"/>
    </row>
    <row r="40" spans="1:7" hidden="1" x14ac:dyDescent="0.25">
      <c r="A40" s="28" t="s">
        <v>73</v>
      </c>
      <c r="B40" s="5">
        <v>0</v>
      </c>
      <c r="C40" s="5">
        <v>1</v>
      </c>
      <c r="D40" s="5">
        <f>C40+B40</f>
        <v>1</v>
      </c>
      <c r="E40" s="5">
        <v>12</v>
      </c>
      <c r="F40" s="9">
        <f t="shared" si="3"/>
        <v>8.3333333333333329E-2</v>
      </c>
      <c r="G40" s="5"/>
    </row>
    <row r="41" spans="1:7" hidden="1" x14ac:dyDescent="0.25">
      <c r="A41" s="28" t="s">
        <v>75</v>
      </c>
      <c r="B41" s="5">
        <v>1</v>
      </c>
      <c r="C41" s="5">
        <v>0</v>
      </c>
      <c r="D41" s="5">
        <f>C41+B41</f>
        <v>1</v>
      </c>
      <c r="E41" s="5">
        <v>8</v>
      </c>
      <c r="F41" s="4">
        <f t="shared" si="3"/>
        <v>0.125</v>
      </c>
      <c r="G41" s="5"/>
    </row>
    <row r="42" spans="1:7" hidden="1" x14ac:dyDescent="0.25">
      <c r="A42" s="28" t="s">
        <v>77</v>
      </c>
      <c r="B42" s="5">
        <v>7</v>
      </c>
      <c r="C42" s="5">
        <v>0</v>
      </c>
      <c r="D42" s="5">
        <v>10</v>
      </c>
      <c r="E42" s="5">
        <v>25</v>
      </c>
      <c r="F42" s="4">
        <f t="shared" si="3"/>
        <v>0.4</v>
      </c>
      <c r="G42" s="5"/>
    </row>
    <row r="43" spans="1:7" x14ac:dyDescent="0.25">
      <c r="A43" s="24" t="s">
        <v>79</v>
      </c>
      <c r="B43" s="5"/>
      <c r="C43" s="5"/>
      <c r="D43" s="2">
        <f>SUM(D44:D47)</f>
        <v>22</v>
      </c>
      <c r="E43" s="2">
        <f>SUM(E44:E47)</f>
        <v>61</v>
      </c>
      <c r="F43" s="3">
        <f t="shared" si="3"/>
        <v>0.36065573770491804</v>
      </c>
      <c r="G43" s="5"/>
    </row>
    <row r="44" spans="1:7" hidden="1" x14ac:dyDescent="0.25">
      <c r="A44" s="28" t="s">
        <v>81</v>
      </c>
      <c r="B44" s="5">
        <v>1</v>
      </c>
      <c r="C44" s="5">
        <v>1</v>
      </c>
      <c r="D44" s="5">
        <f>C44+B44</f>
        <v>2</v>
      </c>
      <c r="E44" s="5">
        <v>14</v>
      </c>
      <c r="F44" s="4">
        <f t="shared" si="3"/>
        <v>0.14285714285714285</v>
      </c>
      <c r="G44" s="5"/>
    </row>
    <row r="45" spans="1:7" ht="30" hidden="1" x14ac:dyDescent="0.25">
      <c r="A45" s="28" t="s">
        <v>83</v>
      </c>
      <c r="B45" s="5">
        <v>1</v>
      </c>
      <c r="C45" s="5">
        <v>0</v>
      </c>
      <c r="D45" s="5">
        <f>C45+B45</f>
        <v>1</v>
      </c>
      <c r="E45" s="5">
        <v>4</v>
      </c>
      <c r="F45" s="4">
        <f t="shared" si="3"/>
        <v>0.25</v>
      </c>
      <c r="G45" s="2"/>
    </row>
    <row r="46" spans="1:7" hidden="1" x14ac:dyDescent="0.25">
      <c r="A46" s="28" t="s">
        <v>85</v>
      </c>
      <c r="B46" s="5">
        <v>19</v>
      </c>
      <c r="C46" s="5">
        <v>0</v>
      </c>
      <c r="D46" s="5">
        <f>C46+B46</f>
        <v>19</v>
      </c>
      <c r="E46" s="5">
        <v>27</v>
      </c>
      <c r="F46" s="4">
        <f t="shared" si="3"/>
        <v>0.70370370370370372</v>
      </c>
      <c r="G46" s="5"/>
    </row>
    <row r="47" spans="1:7" hidden="1" x14ac:dyDescent="0.25">
      <c r="A47" s="28" t="s">
        <v>139</v>
      </c>
      <c r="B47" s="5">
        <v>0</v>
      </c>
      <c r="C47" s="5"/>
      <c r="D47" s="5"/>
      <c r="E47" s="11">
        <v>16</v>
      </c>
      <c r="F47" s="8">
        <f t="shared" si="3"/>
        <v>0</v>
      </c>
      <c r="G47" s="5"/>
    </row>
    <row r="48" spans="1:7" ht="15.75" x14ac:dyDescent="0.25">
      <c r="A48" s="33" t="s">
        <v>141</v>
      </c>
      <c r="B48" s="12"/>
      <c r="C48" s="12"/>
      <c r="D48" s="12">
        <f>D39+D43+D33+D27+D16+D14+D10+D8+D4</f>
        <v>353</v>
      </c>
      <c r="E48" s="12">
        <f>E39+E43+E33+E27+E16+E14+E10+E8+E4</f>
        <v>684</v>
      </c>
      <c r="F48" s="34">
        <f t="shared" si="3"/>
        <v>0.51608187134502925</v>
      </c>
      <c r="G48" s="12"/>
    </row>
    <row r="49" spans="3:7" ht="15.75" x14ac:dyDescent="0.25">
      <c r="C49" s="18" t="s">
        <v>135</v>
      </c>
      <c r="D49" s="18" t="s">
        <v>135</v>
      </c>
      <c r="E49" s="18"/>
      <c r="F49" s="18"/>
    </row>
    <row r="50" spans="3:7" ht="15.75" x14ac:dyDescent="0.25">
      <c r="C50" s="18"/>
      <c r="D50" s="18"/>
      <c r="E50" s="18"/>
      <c r="F50" s="18"/>
    </row>
    <row r="51" spans="3:7" ht="15.75" x14ac:dyDescent="0.25">
      <c r="C51" s="18"/>
      <c r="D51" s="18"/>
      <c r="E51" s="18"/>
      <c r="F51" s="18"/>
    </row>
    <row r="52" spans="3:7" ht="15.75" x14ac:dyDescent="0.25">
      <c r="C52" s="18"/>
      <c r="D52" s="18"/>
      <c r="E52" s="18"/>
      <c r="F52" s="18"/>
    </row>
    <row r="53" spans="3:7" ht="15.75" x14ac:dyDescent="0.25">
      <c r="C53" s="18"/>
      <c r="D53" s="18"/>
      <c r="E53" s="18"/>
      <c r="F53" s="18"/>
    </row>
    <row r="54" spans="3:7" ht="15.75" x14ac:dyDescent="0.25">
      <c r="C54" s="30"/>
      <c r="D54" s="57" t="s">
        <v>136</v>
      </c>
      <c r="E54" s="57"/>
      <c r="F54" s="57"/>
      <c r="G54" s="57"/>
    </row>
    <row r="55" spans="3:7" ht="15.75" x14ac:dyDescent="0.25">
      <c r="C55" s="18" t="s">
        <v>137</v>
      </c>
      <c r="D55" s="18" t="s">
        <v>137</v>
      </c>
      <c r="E55" s="18"/>
      <c r="F55" s="18"/>
    </row>
  </sheetData>
  <mergeCells count="2">
    <mergeCell ref="A1:G1"/>
    <mergeCell ref="D54:G54"/>
  </mergeCells>
  <pageMargins left="0.70866141732283472" right="0.70866141732283472" top="0.55118110236220474" bottom="0.35433070866141736" header="0.31496062992125984" footer="0.31496062992125984"/>
  <pageSetup paperSize="9" scale="94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D18" sqref="D18"/>
    </sheetView>
  </sheetViews>
  <sheetFormatPr defaultRowHeight="15" x14ac:dyDescent="0.25"/>
  <cols>
    <col min="1" max="1" width="36.5703125" bestFit="1" customWidth="1"/>
    <col min="2" max="2" width="15.7109375" hidden="1" customWidth="1"/>
    <col min="3" max="3" width="15.5703125" hidden="1" customWidth="1"/>
    <col min="4" max="4" width="12.28515625" customWidth="1"/>
    <col min="10" max="10" width="47.28515625" bestFit="1" customWidth="1"/>
  </cols>
  <sheetData>
    <row r="1" spans="1:7" x14ac:dyDescent="0.25">
      <c r="A1" s="67" t="s">
        <v>145</v>
      </c>
      <c r="B1" s="67"/>
      <c r="C1" s="67"/>
      <c r="D1" s="67"/>
      <c r="E1" s="67"/>
      <c r="F1" s="67"/>
      <c r="G1" s="67"/>
    </row>
    <row r="2" spans="1:7" ht="45" x14ac:dyDescent="0.25">
      <c r="A2" s="36" t="s">
        <v>0</v>
      </c>
      <c r="B2" s="36" t="s">
        <v>1</v>
      </c>
      <c r="C2" s="36" t="s">
        <v>2</v>
      </c>
      <c r="D2" s="35" t="s">
        <v>144</v>
      </c>
      <c r="E2" s="36" t="s">
        <v>37</v>
      </c>
      <c r="F2" s="37" t="s">
        <v>4</v>
      </c>
      <c r="G2" s="36" t="s">
        <v>5</v>
      </c>
    </row>
    <row r="3" spans="1:7" x14ac:dyDescent="0.25">
      <c r="A3" s="2" t="s">
        <v>89</v>
      </c>
      <c r="B3" s="5"/>
      <c r="C3" s="5"/>
      <c r="D3" s="5"/>
      <c r="E3" s="5"/>
      <c r="F3" s="4"/>
      <c r="G3" s="5"/>
    </row>
    <row r="4" spans="1:7" x14ac:dyDescent="0.25">
      <c r="A4" s="2" t="s">
        <v>9</v>
      </c>
      <c r="B4" s="5">
        <v>5</v>
      </c>
      <c r="C4" s="5"/>
      <c r="D4" s="5"/>
      <c r="E4" s="5"/>
      <c r="F4" s="4"/>
      <c r="G4" s="5"/>
    </row>
    <row r="5" spans="1:7" x14ac:dyDescent="0.25">
      <c r="A5" s="5" t="s">
        <v>92</v>
      </c>
      <c r="B5" s="5">
        <v>5</v>
      </c>
      <c r="C5" s="5">
        <v>1</v>
      </c>
      <c r="D5" s="5">
        <f>C5+B5</f>
        <v>6</v>
      </c>
      <c r="E5" s="5">
        <v>17</v>
      </c>
      <c r="F5" s="4">
        <f>D5/E5</f>
        <v>0.35294117647058826</v>
      </c>
      <c r="G5" s="5"/>
    </row>
    <row r="6" spans="1:7" x14ac:dyDescent="0.25">
      <c r="A6" s="2" t="s">
        <v>17</v>
      </c>
      <c r="B6" s="5"/>
      <c r="C6" s="5"/>
      <c r="D6" s="5"/>
      <c r="E6" s="5"/>
      <c r="F6" s="4"/>
      <c r="G6" s="5"/>
    </row>
    <row r="7" spans="1:7" x14ac:dyDescent="0.25">
      <c r="A7" s="5" t="s">
        <v>95</v>
      </c>
      <c r="B7" s="5">
        <v>6</v>
      </c>
      <c r="C7" s="5">
        <v>2</v>
      </c>
      <c r="D7" s="5">
        <v>9</v>
      </c>
      <c r="E7" s="5">
        <v>18</v>
      </c>
      <c r="F7" s="4">
        <f>D7/E7</f>
        <v>0.5</v>
      </c>
      <c r="G7" s="5"/>
    </row>
    <row r="8" spans="1:7" x14ac:dyDescent="0.25">
      <c r="A8" s="2" t="s">
        <v>18</v>
      </c>
      <c r="B8" s="5"/>
      <c r="C8" s="5"/>
      <c r="D8" s="5"/>
      <c r="E8" s="5"/>
      <c r="F8" s="4"/>
      <c r="G8" s="5"/>
    </row>
    <row r="9" spans="1:7" x14ac:dyDescent="0.25">
      <c r="A9" s="5" t="s">
        <v>98</v>
      </c>
      <c r="B9" s="5">
        <v>1</v>
      </c>
      <c r="C9" s="5"/>
      <c r="D9" s="5">
        <v>3</v>
      </c>
      <c r="E9" s="5">
        <v>10</v>
      </c>
      <c r="F9" s="4">
        <f>D9/E9</f>
        <v>0.3</v>
      </c>
      <c r="G9" s="5"/>
    </row>
    <row r="10" spans="1:7" x14ac:dyDescent="0.25">
      <c r="A10" s="2" t="s">
        <v>32</v>
      </c>
      <c r="B10" s="5"/>
      <c r="C10" s="5"/>
      <c r="D10" s="5"/>
      <c r="E10" s="5"/>
      <c r="F10" s="4"/>
      <c r="G10" s="5"/>
    </row>
    <row r="11" spans="1:7" x14ac:dyDescent="0.25">
      <c r="A11" s="5" t="s">
        <v>100</v>
      </c>
      <c r="B11" s="5">
        <v>6</v>
      </c>
      <c r="C11" s="5"/>
      <c r="D11" s="5">
        <v>7</v>
      </c>
      <c r="E11" s="5">
        <v>20</v>
      </c>
      <c r="F11" s="4">
        <f>D11/E11</f>
        <v>0.35</v>
      </c>
      <c r="G11" s="5"/>
    </row>
    <row r="12" spans="1:7" x14ac:dyDescent="0.25">
      <c r="A12" s="2" t="s">
        <v>62</v>
      </c>
      <c r="B12" s="5"/>
      <c r="C12" s="5"/>
      <c r="D12" s="5"/>
      <c r="E12" s="5"/>
      <c r="F12" s="4"/>
      <c r="G12" s="5"/>
    </row>
    <row r="13" spans="1:7" x14ac:dyDescent="0.25">
      <c r="A13" s="5" t="s">
        <v>103</v>
      </c>
      <c r="B13" s="5">
        <v>1</v>
      </c>
      <c r="C13" s="5"/>
      <c r="D13" s="5">
        <f>C13+B13</f>
        <v>1</v>
      </c>
      <c r="E13" s="5">
        <v>8</v>
      </c>
      <c r="F13" s="4">
        <f>D13/E13</f>
        <v>0.125</v>
      </c>
      <c r="G13" s="5"/>
    </row>
    <row r="14" spans="1:7" x14ac:dyDescent="0.25">
      <c r="A14" s="2" t="s">
        <v>79</v>
      </c>
      <c r="B14" s="5"/>
      <c r="C14" s="5"/>
      <c r="D14" s="5"/>
      <c r="E14" s="5"/>
      <c r="F14" s="4"/>
      <c r="G14" s="5"/>
    </row>
    <row r="15" spans="1:7" x14ac:dyDescent="0.25">
      <c r="A15" s="5" t="s">
        <v>106</v>
      </c>
      <c r="B15" s="5">
        <v>0</v>
      </c>
      <c r="C15" s="5">
        <v>1</v>
      </c>
      <c r="D15" s="5">
        <v>3</v>
      </c>
      <c r="E15" s="5">
        <v>13</v>
      </c>
      <c r="F15" s="4">
        <f>D15/E15</f>
        <v>0.23076923076923078</v>
      </c>
      <c r="G15" s="5"/>
    </row>
    <row r="16" spans="1:7" x14ac:dyDescent="0.25">
      <c r="A16" s="2" t="s">
        <v>25</v>
      </c>
      <c r="B16" s="5"/>
      <c r="C16" s="5"/>
      <c r="D16" s="5"/>
      <c r="E16" s="5"/>
      <c r="F16" s="5"/>
      <c r="G16" s="5"/>
    </row>
    <row r="17" spans="1:7" x14ac:dyDescent="0.25">
      <c r="A17" s="5" t="s">
        <v>138</v>
      </c>
      <c r="B17" s="5"/>
      <c r="C17" s="5"/>
      <c r="D17" s="5">
        <v>1</v>
      </c>
      <c r="E17" s="5">
        <v>6</v>
      </c>
      <c r="F17" s="23">
        <v>0</v>
      </c>
      <c r="G17" s="5"/>
    </row>
    <row r="18" spans="1:7" ht="15.75" x14ac:dyDescent="0.25">
      <c r="A18" s="32" t="s">
        <v>142</v>
      </c>
      <c r="B18" s="12"/>
      <c r="C18" s="12"/>
      <c r="D18" s="12">
        <f>SUM(D5:D17)</f>
        <v>30</v>
      </c>
      <c r="E18" s="12">
        <f>SUM(E5:E17)</f>
        <v>92</v>
      </c>
      <c r="F18" s="13">
        <f>D18/E18</f>
        <v>0.32608695652173914</v>
      </c>
      <c r="G18" s="12"/>
    </row>
    <row r="19" spans="1:7" ht="15.75" x14ac:dyDescent="0.25">
      <c r="D19" s="18" t="s">
        <v>135</v>
      </c>
      <c r="E19" s="18"/>
      <c r="F19" s="18"/>
      <c r="G19" s="18"/>
    </row>
    <row r="20" spans="1:7" ht="15.75" x14ac:dyDescent="0.25">
      <c r="D20" s="18"/>
      <c r="E20" s="18"/>
      <c r="F20" s="18"/>
      <c r="G20" s="18"/>
    </row>
    <row r="21" spans="1:7" ht="15.75" x14ac:dyDescent="0.25">
      <c r="D21" s="18"/>
      <c r="E21" s="18"/>
      <c r="F21" s="18"/>
      <c r="G21" s="18"/>
    </row>
    <row r="22" spans="1:7" ht="15.75" x14ac:dyDescent="0.25">
      <c r="D22" s="18"/>
      <c r="E22" s="18"/>
      <c r="F22" s="18"/>
      <c r="G22" s="18"/>
    </row>
    <row r="23" spans="1:7" ht="15.75" x14ac:dyDescent="0.25">
      <c r="D23" s="18"/>
      <c r="E23" s="18"/>
      <c r="F23" s="18"/>
      <c r="G23" s="18"/>
    </row>
    <row r="24" spans="1:7" x14ac:dyDescent="0.25">
      <c r="D24" s="57" t="s">
        <v>136</v>
      </c>
      <c r="E24" s="58"/>
      <c r="F24" s="58"/>
      <c r="G24" s="58"/>
    </row>
    <row r="25" spans="1:7" ht="15.75" x14ac:dyDescent="0.25">
      <c r="D25" s="18" t="s">
        <v>137</v>
      </c>
      <c r="E25" s="18"/>
      <c r="F25" s="18"/>
      <c r="G25" s="18"/>
    </row>
  </sheetData>
  <mergeCells count="2">
    <mergeCell ref="A1:G1"/>
    <mergeCell ref="D24:G2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d3</vt:lpstr>
      <vt:lpstr>Sheet1</vt:lpstr>
      <vt:lpstr>s1</vt:lpstr>
      <vt:lpstr>s2</vt:lpstr>
      <vt:lpstr>s3</vt:lpstr>
      <vt:lpstr>'s1'!Print_Area</vt:lpstr>
      <vt:lpstr>'s2'!Print_Area</vt:lpstr>
      <vt:lpstr>Sheet1!Print_Area</vt:lpstr>
      <vt:lpstr>'s1'!Print_Titles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</dc:creator>
  <cp:lastModifiedBy>mala lia</cp:lastModifiedBy>
  <cp:lastPrinted>2026-04-07T01:16:46Z</cp:lastPrinted>
  <dcterms:created xsi:type="dcterms:W3CDTF">2025-09-03T07:07:03Z</dcterms:created>
  <dcterms:modified xsi:type="dcterms:W3CDTF">2026-04-20T09:19:46Z</dcterms:modified>
</cp:coreProperties>
</file>